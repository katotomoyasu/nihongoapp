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問題" sheetId="1" state="visible" r:id="rId1"/>
    <sheet xmlns:r="http://schemas.openxmlformats.org/officeDocument/2006/relationships" name="詳細解説" sheetId="2" state="visible" r:id="rId2"/>
    <sheet xmlns:r="http://schemas.openxmlformats.org/officeDocument/2006/relationships" name="管理データ" sheetId="3" state="hidden" r:id="rId3"/>
  </sheets>
  <definedNames/>
  <calcPr calcId="191029" fullCalcOnLoad="1"/>
</workbook>
</file>

<file path=xl/styles.xml><?xml version="1.0" encoding="utf-8"?>
<styleSheet xmlns="http://schemas.openxmlformats.org/spreadsheetml/2006/main">
  <numFmts count="0"/>
  <fonts count="7">
    <font>
      <name val="ＭＳ Ｐゴシック"/>
      <family val="2"/>
      <color theme="1"/>
      <sz val="11"/>
      <scheme val="minor"/>
    </font>
    <font>
      <name val="Meiryo UI"/>
      <charset val="128"/>
      <family val="3"/>
      <b val="1"/>
      <color rgb="FFFFFFFF"/>
      <sz val="10"/>
    </font>
    <font>
      <name val="Meiryo UI"/>
      <charset val="128"/>
      <family val="3"/>
      <color rgb="FF000000"/>
      <sz val="10"/>
    </font>
    <font>
      <name val="Meiryo UI"/>
      <charset val="128"/>
      <family val="3"/>
      <color rgb="FFFFFFFF"/>
      <sz val="9"/>
    </font>
    <font>
      <name val="Meiryo UI"/>
      <charset val="128"/>
      <family val="3"/>
      <b val="1"/>
      <color rgb="FF000000"/>
      <sz val="10"/>
    </font>
    <font>
      <name val="Meiryo UI"/>
      <charset val="128"/>
      <family val="3"/>
      <color rgb="FF000000"/>
      <sz val="9"/>
    </font>
    <font>
      <name val="ＭＳ Ｐゴシック"/>
      <charset val="128"/>
      <family val="3"/>
      <sz val="6"/>
      <scheme val="minor"/>
    </font>
  </fonts>
  <fills count="6">
    <fill>
      <patternFill/>
    </fill>
    <fill>
      <patternFill patternType="gray125"/>
    </fill>
    <fill>
      <patternFill patternType="solid">
        <fgColor rgb="FF2E4057"/>
      </patternFill>
    </fill>
    <fill>
      <patternFill patternType="solid">
        <fgColor rgb="FFE8F5E9"/>
      </patternFill>
    </fill>
    <fill>
      <patternFill patternType="solid">
        <fgColor rgb="FFFFF9C4"/>
      </patternFill>
    </fill>
    <fill>
      <patternFill patternType="solid">
        <fgColor rgb="FFFCE4E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3" borderId="1" applyAlignment="1" pivotButton="0" quotePrefix="0" xfId="0">
      <alignment horizontal="center" vertical="center"/>
    </xf>
    <xf numFmtId="0" fontId="3" fillId="3" borderId="1" applyAlignment="1" pivotButton="0" quotePrefix="0" xfId="0">
      <alignment vertical="top" wrapText="1"/>
    </xf>
    <xf numFmtId="0" fontId="2" fillId="4" borderId="1" applyAlignment="1" pivotButton="0" quotePrefix="0" xfId="0">
      <alignment vertical="top" wrapText="1"/>
    </xf>
    <xf numFmtId="0" fontId="2" fillId="4" borderId="1" applyAlignment="1" pivotButton="0" quotePrefix="0" xfId="0">
      <alignment horizontal="center" vertical="center"/>
    </xf>
    <xf numFmtId="0" fontId="3" fillId="4" borderId="1" applyAlignment="1" pivotButton="0" quotePrefix="0" xfId="0">
      <alignment vertical="top" wrapText="1"/>
    </xf>
    <xf numFmtId="0" fontId="2" fillId="5" borderId="1" applyAlignment="1" pivotButton="0" quotePrefix="0" xfId="0">
      <alignment vertical="top" wrapText="1"/>
    </xf>
    <xf numFmtId="0" fontId="2" fillId="5" borderId="1" applyAlignment="1" pivotButton="0" quotePrefix="0" xfId="0">
      <alignment horizontal="center" vertical="center"/>
    </xf>
    <xf numFmtId="0" fontId="3" fillId="5" borderId="1" applyAlignment="1" pivotButton="0" quotePrefix="0" xfId="0">
      <alignment vertical="top" wrapText="1"/>
    </xf>
    <xf numFmtId="0" fontId="4" fillId="0" borderId="0" pivotButton="0" quotePrefix="0" xfId="0"/>
    <xf numFmtId="0" fontId="5" fillId="0" borderId="1" applyAlignment="1" pivotButton="0" quotePrefix="0" xfId="0">
      <alignment vertical="top" wrapText="1"/>
    </xf>
  </cellXfs>
  <cellStyles count="1">
    <cellStyle name="標準" xfId="0" builtinId="0"/>
  </cellStyles>
  <dxfs count="3">
    <dxf>
      <font>
        <name val="Meiryo UI"/>
        <color rgb="FF000000"/>
        <sz val="9"/>
      </font>
    </dxf>
    <dxf>
      <font>
        <name val="Meiryo UI"/>
        <b val="1"/>
        <color rgb="FFE53935"/>
        <sz val="12"/>
      </font>
    </dxf>
    <dxf>
      <font>
        <name val="Meiryo UI"/>
        <b val="1"/>
        <color rgb="FF43A047"/>
        <sz val="1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
  <sheetViews>
    <sheetView tabSelected="1" workbookViewId="0">
      <pane ySplit="1" topLeftCell="A26" activePane="bottomLeft" state="frozen"/>
      <selection pane="bottomLeft" activeCell="H36" sqref="H36"/>
    </sheetView>
  </sheetViews>
  <sheetFormatPr baseColWidth="8" defaultRowHeight="13.5"/>
  <cols>
    <col width="5" customWidth="1" min="1" max="1"/>
    <col width="8" customWidth="1" min="2" max="2"/>
    <col width="45" customWidth="1" min="3" max="3"/>
    <col width="20" customWidth="1" min="4" max="7"/>
    <col width="8" customWidth="1" min="8" max="8"/>
    <col width="6" customWidth="1" min="9" max="9"/>
    <col width="60" customWidth="1" min="10" max="10"/>
    <col width="12" customWidth="1" min="11" max="11"/>
  </cols>
  <sheetData>
    <row r="1" ht="30" customHeight="1">
      <c r="A1" s="1" t="inlineStr">
        <is>
          <t>No</t>
        </is>
      </c>
      <c r="B1" s="1" t="inlineStr">
        <is>
          <t>難易度</t>
        </is>
      </c>
      <c r="C1" s="1" t="inlineStr">
        <is>
          <t>問題文</t>
        </is>
      </c>
      <c r="D1" s="1" t="inlineStr">
        <is>
          <t>選択肢A</t>
        </is>
      </c>
      <c r="E1" s="1" t="inlineStr">
        <is>
          <t>選択肢B</t>
        </is>
      </c>
      <c r="F1" s="1" t="inlineStr">
        <is>
          <t>選択肢C</t>
        </is>
      </c>
      <c r="G1" s="1" t="inlineStr">
        <is>
          <t>選択肢D</t>
        </is>
      </c>
      <c r="H1" s="1" t="inlineStr">
        <is>
          <t>回答</t>
        </is>
      </c>
      <c r="I1" s="1" t="inlineStr">
        <is>
          <t>結果</t>
        </is>
      </c>
      <c r="J1" s="1" t="inlineStr">
        <is>
          <t>解説（選択後に表示）</t>
        </is>
      </c>
      <c r="K1" s="1" t="inlineStr">
        <is>
          <t>出典</t>
        </is>
      </c>
    </row>
    <row r="2" ht="45" customHeight="1">
      <c r="A2" s="2" t="n">
        <v>1</v>
      </c>
      <c r="B2" s="2" t="inlineStr">
        <is>
          <t>★</t>
        </is>
      </c>
      <c r="C2" s="2" t="inlineStr">
        <is>
          <t>「難民の地位に関する条約」における難民の定義に含まれない理由はどれか。</t>
        </is>
      </c>
      <c r="D2" s="2" t="inlineStr">
        <is>
          <t>人種</t>
        </is>
      </c>
      <c r="E2" s="2" t="inlineStr">
        <is>
          <t>宗教</t>
        </is>
      </c>
      <c r="F2" s="2" t="inlineStr">
        <is>
          <t>経済的困窮</t>
        </is>
      </c>
      <c r="G2" s="2" t="inlineStr">
        <is>
          <t>政治的意見</t>
        </is>
      </c>
      <c r="H2" s="2" t="inlineStr">
        <is>
          <t>A</t>
        </is>
      </c>
      <c r="I2" s="3">
        <f>IF(H2="","",IF(H2="C","〇","×"))</f>
        <v/>
      </c>
      <c r="J2" s="4" t="inlineStr">
        <is>
          <t>難民条約（1951年採択）では、迫害の理由として「人種・宗教・国籍・特定の社会的集団の構成員であること・政治的意見」の5つが定められています。経済的困窮（貧困）は含まれておらず、経済難民は条約上の難民には該当しません。
【他の選択肢】A：人種は5つの理由の一つで含まれます。B：宗教も5つの理由の一つで含まれます。D：政治的意見も5つの理由の一つで含まれます。いずれも難民の定義に明記されている迫害理由です。</t>
        </is>
      </c>
      <c r="K2" s="2" t="inlineStr">
        <is>
          <t>教程1</t>
        </is>
      </c>
    </row>
    <row r="3" ht="45" customHeight="1">
      <c r="A3" s="2" t="n">
        <v>2</v>
      </c>
      <c r="B3" s="2" t="inlineStr">
        <is>
          <t>★</t>
        </is>
      </c>
      <c r="C3" s="2" t="inlineStr">
        <is>
          <t>国際交流基金が実施する「海外日本語教育機関調査」は何年おきに行われるか。</t>
        </is>
      </c>
      <c r="D3" s="2" t="inlineStr">
        <is>
          <t>毎年</t>
        </is>
      </c>
      <c r="E3" s="2" t="inlineStr">
        <is>
          <t>2年おき</t>
        </is>
      </c>
      <c r="F3" s="2" t="inlineStr">
        <is>
          <t>3年おき</t>
        </is>
      </c>
      <c r="G3" s="2" t="inlineStr">
        <is>
          <t>5年おき</t>
        </is>
      </c>
      <c r="H3" s="2" t="inlineStr">
        <is>
          <t>C</t>
        </is>
      </c>
      <c r="I3" s="3">
        <f>IF(H3="","",IF(H3="C","〇","×"))</f>
        <v/>
      </c>
      <c r="J3" s="4" t="inlineStr">
        <is>
          <t>国際交流基金は3年おきに「海外日本語教育機関調査」を実施しています。最新の調査は2021年度調査で、世界141の国・地域の日本語教育の実態を把握するための大規模調査です。
【他の選択肢】A：毎年実施ではなく、3年周期です。B：2年おきではありません。D：5年おきでもありません。3年というサイクルは、変化を捉えつつ調査の実施負担も考慮した期間です。</t>
        </is>
      </c>
      <c r="K3" s="2" t="inlineStr">
        <is>
          <t>教程1</t>
        </is>
      </c>
    </row>
    <row r="4" ht="45" customHeight="1">
      <c r="A4" s="2" t="n">
        <v>3</v>
      </c>
      <c r="B4" s="2" t="inlineStr">
        <is>
          <t>★</t>
        </is>
      </c>
      <c r="C4" s="2" t="inlineStr">
        <is>
          <t>インドネシアの日本語学習者の90%以上を占める層はどれか。</t>
        </is>
      </c>
      <c r="D4" s="2" t="inlineStr">
        <is>
          <t>大学生</t>
        </is>
      </c>
      <c r="E4" s="2" t="inlineStr">
        <is>
          <t>社会人</t>
        </is>
      </c>
      <c r="F4" s="2" t="inlineStr">
        <is>
          <t>高校生</t>
        </is>
      </c>
      <c r="G4" s="2" t="inlineStr">
        <is>
          <t>小学生</t>
        </is>
      </c>
      <c r="H4" s="2" t="inlineStr">
        <is>
          <t>C</t>
        </is>
      </c>
      <c r="I4" s="3">
        <f>IF(H4="","",IF(H4="C","〇","×"))</f>
        <v/>
      </c>
      <c r="J4" s="4" t="inlineStr">
        <is>
          <t>インドネシアの日本語学習者の90%以上は高校生（中等教育機関の学習者）です。インドネシアは世界第2位の日本語学習者数を誇り、高校の第二外国語科目として日本語が広く選択されています。
【他の選択肢】A：大学生の学習者は全体のごく一部です。B：社会人の学習者も少数派です。D：小学生での日本語教育はインドネシアではほとんど行われていません。</t>
        </is>
      </c>
      <c r="K4" s="2" t="inlineStr">
        <is>
          <t>教程1</t>
        </is>
      </c>
    </row>
    <row r="5" ht="45" customHeight="1">
      <c r="A5" s="2" t="n">
        <v>4</v>
      </c>
      <c r="B5" s="2" t="inlineStr">
        <is>
          <t>★</t>
        </is>
      </c>
      <c r="C5" s="2" t="inlineStr">
        <is>
          <t>1972年の日中国交正常化後、中国で起きた日本語教育の動きとして正しいものはどれか。</t>
        </is>
      </c>
      <c r="D5" s="2" t="inlineStr">
        <is>
          <t>第一次日本語ブームが起きた</t>
        </is>
      </c>
      <c r="E5" s="2" t="inlineStr">
        <is>
          <t>日本語が禁止された</t>
        </is>
      </c>
      <c r="F5" s="2" t="inlineStr">
        <is>
          <t>日本語学校が全廃された</t>
        </is>
      </c>
      <c r="G5" s="2" t="inlineStr">
        <is>
          <t>英語に統一された</t>
        </is>
      </c>
      <c r="H5" s="2" t="inlineStr">
        <is>
          <t>A</t>
        </is>
      </c>
      <c r="I5" s="3">
        <f>IF(H5="","",IF(H5="A","〇","×"))</f>
        <v/>
      </c>
      <c r="J5" s="4" t="inlineStr">
        <is>
          <t>1972年の日中国交正常化を契機に、中国では日本語学習への関心が急速に高まり、「第一次日本語ブーム」が起きました。経済交流の活発化に伴い、日本語を学ぶ人が急増しました。
【他の選択肢】B：日本語が禁止された事実はありません。C：日本語学校が全廃されたこともありません。D：英語に統一されたわけでもなく、むしろ日本語学習が盛んになりました。</t>
        </is>
      </c>
      <c r="K5" s="2" t="inlineStr">
        <is>
          <t>教程1</t>
        </is>
      </c>
    </row>
    <row r="6" ht="45" customHeight="1">
      <c r="A6" s="5" t="n">
        <v>5</v>
      </c>
      <c r="B6" s="5" t="inlineStr">
        <is>
          <t>★★</t>
        </is>
      </c>
      <c r="C6" s="5" t="inlineStr">
        <is>
          <t>韓国で高等学校の第二外国語科目として日本語が導入されたのは何年か。</t>
        </is>
      </c>
      <c r="D6" s="5" t="inlineStr">
        <is>
          <t>1965年</t>
        </is>
      </c>
      <c r="E6" s="5" t="inlineStr">
        <is>
          <t>1973年</t>
        </is>
      </c>
      <c r="F6" s="5" t="inlineStr">
        <is>
          <t>2001年</t>
        </is>
      </c>
      <c r="G6" s="5" t="inlineStr">
        <is>
          <t>1987年</t>
        </is>
      </c>
      <c r="H6" s="5" t="inlineStr">
        <is>
          <t>D</t>
        </is>
      </c>
      <c r="I6" s="6">
        <f>IF(H6="","",IF(H6="B","〇","×"))</f>
        <v/>
      </c>
      <c r="J6" s="7" t="inlineStr">
        <is>
          <t>韓国では1973年に高等学校の第二外国語科目として日本語が正式に導入されました。1965年の日韓国交正常化を経て、両国関係の発展に伴い教育制度にも反映されました。
【他の選択肢】A：1965年は日韓基本条約（国交正常化）の年であり、日本語教育導入はその後です。C：2001年は韓国の中学校で日本語教育が始まった年です。D：1987年はオーストラリアがLOTE（Languages Other Than English）政策を開始した年です。</t>
        </is>
      </c>
      <c r="K6" s="5" t="inlineStr">
        <is>
          <t>教程1</t>
        </is>
      </c>
    </row>
    <row r="7" ht="45" customHeight="1">
      <c r="A7" s="5" t="n">
        <v>6</v>
      </c>
      <c r="B7" s="5" t="inlineStr">
        <is>
          <t>★★</t>
        </is>
      </c>
      <c r="C7" s="5" t="inlineStr">
        <is>
          <t>オーストラリアのLOTE政策（1987年）で指定された優先学習言語は何言語か。</t>
        </is>
      </c>
      <c r="D7" s="5" t="inlineStr">
        <is>
          <t>4言語</t>
        </is>
      </c>
      <c r="E7" s="5" t="inlineStr">
        <is>
          <t>7言語</t>
        </is>
      </c>
      <c r="F7" s="5" t="inlineStr">
        <is>
          <t>9言語</t>
        </is>
      </c>
      <c r="G7" s="5" t="inlineStr">
        <is>
          <t>12言語</t>
        </is>
      </c>
      <c r="H7" s="5" t="inlineStr">
        <is>
          <t>D</t>
        </is>
      </c>
      <c r="I7" s="6">
        <f>IF(H7="","",IF(H7="C","〇","×"))</f>
        <v/>
      </c>
      <c r="J7" s="7" t="inlineStr">
        <is>
          <t>オーストラリアのLOTE（Languages Other Than English）政策は1987年に「国家言語政策」として策定され、英語以外の9言語が優先学習言語に指定されました。日本語もその一つに含まれています。なお、後のNALSAS（1994年）では4言語に絞られました。
【他の選択肢】A：4言語は後のNALSAS（National Asian Languages and Studies in Australian Schools、1994年）で指定された数です。NALSASでは中国語・日本語・韓国語・インドネシア語の4言語に絞られました。B・D：7言語や12言語という指定はありません。</t>
        </is>
      </c>
      <c r="K7" s="5" t="inlineStr">
        <is>
          <t>教程1</t>
        </is>
      </c>
    </row>
    <row r="8" ht="45" customHeight="1">
      <c r="A8" s="8" t="n">
        <v>7</v>
      </c>
      <c r="B8" s="8" t="inlineStr">
        <is>
          <t>★★★</t>
        </is>
      </c>
      <c r="C8" s="8" t="inlineStr">
        <is>
          <t>ベトナムで小学3年生からの日本語教育が試行導入されたのは何年か。</t>
        </is>
      </c>
      <c r="D8" s="8" t="inlineStr">
        <is>
          <t>2003年</t>
        </is>
      </c>
      <c r="E8" s="8" t="inlineStr">
        <is>
          <t>2014年</t>
        </is>
      </c>
      <c r="F8" s="8" t="inlineStr">
        <is>
          <t>2016年</t>
        </is>
      </c>
      <c r="G8" s="8" t="inlineStr">
        <is>
          <t>2019年</t>
        </is>
      </c>
      <c r="H8" s="8" t="inlineStr">
        <is>
          <t>D</t>
        </is>
      </c>
      <c r="I8" s="9">
        <f>IF(H8="","",IF(H8="C","〇","×"))</f>
        <v/>
      </c>
      <c r="J8" s="10" t="inlineStr">
        <is>
          <t>ベトナムでは2016年に小学3年生からの日本語教育が試行導入されました。これは東南アジアの公教育において、初等教育段階から日本語を第一外国語として導入した画期的な取り組みです。
【他の選択肢】A：2003年は日越の中等教育における日本語教育プロジェクトが立ち上げられた年です。B：2014年はEPA（経済連携協定）に基づくベトナムからの看護師・介護福祉士候補者の受入れが開始された年です。D：2019年は試行段階から普及段階へ移行した時期です。</t>
        </is>
      </c>
      <c r="K8" s="8" t="inlineStr">
        <is>
          <t>教程1</t>
        </is>
      </c>
    </row>
    <row r="9" ht="45" customHeight="1">
      <c r="A9" s="5" t="n">
        <v>8</v>
      </c>
      <c r="B9" s="5" t="inlineStr">
        <is>
          <t>★★</t>
        </is>
      </c>
      <c r="C9" s="5" t="inlineStr">
        <is>
          <t>NALSASで優先学習言語に指定された4言語に含まれないものはどれか。</t>
        </is>
      </c>
      <c r="D9" s="5" t="inlineStr">
        <is>
          <t>中国語</t>
        </is>
      </c>
      <c r="E9" s="5" t="inlineStr">
        <is>
          <t>日本語</t>
        </is>
      </c>
      <c r="F9" s="5" t="inlineStr">
        <is>
          <t>タイ語</t>
        </is>
      </c>
      <c r="G9" s="5" t="inlineStr">
        <is>
          <t>韓国語</t>
        </is>
      </c>
      <c r="H9" s="5" t="inlineStr">
        <is>
          <t>C</t>
        </is>
      </c>
      <c r="I9" s="6">
        <f>IF(H9="","",IF(H9="C","〇","×"))</f>
        <v/>
      </c>
      <c r="J9" s="7" t="inlineStr">
        <is>
          <t>NALSAS（National Asian Languages and Studies in Australian Schools）は1994年にオーストラリアで策定された政策で、アジアの4言語（中国語・日本語・韓国語・インドネシア語）を優先学習言語に指定しました。タイ語は含まれていません。
【他の選択肢】A：中国語はNALSASの4言語の一つです。B：日本語も4言語の一つです。D：韓国語も4言語の一つです。いずれもオーストラリアにとって経済的・外交的に重要なアジアの言語として選定されました。</t>
        </is>
      </c>
      <c r="K9" s="5" t="inlineStr">
        <is>
          <t>教程1</t>
        </is>
      </c>
    </row>
    <row r="10" ht="45" customHeight="1">
      <c r="A10" s="2" t="n">
        <v>9</v>
      </c>
      <c r="B10" s="2" t="inlineStr">
        <is>
          <t>★</t>
        </is>
      </c>
      <c r="C10" s="2" t="inlineStr">
        <is>
          <t>2010年の入管法改正前、日本語学校の学生に与えられていた在留資格は何か。</t>
        </is>
      </c>
      <c r="D10" s="2" t="inlineStr">
        <is>
          <t>研修</t>
        </is>
      </c>
      <c r="E10" s="2" t="inlineStr">
        <is>
          <t>就学</t>
        </is>
      </c>
      <c r="F10" s="2" t="inlineStr">
        <is>
          <t>特定活動</t>
        </is>
      </c>
      <c r="G10" s="2" t="inlineStr">
        <is>
          <t>文化活動</t>
        </is>
      </c>
      <c r="H10" s="2" t="inlineStr">
        <is>
          <t>B</t>
        </is>
      </c>
      <c r="I10" s="3">
        <f>IF(H10="","",IF(H10="B","〇","×"))</f>
        <v/>
      </c>
      <c r="J10" s="4" t="inlineStr">
        <is>
          <t>2010年の入管法改正前、日本語学校の学生には「就学」という在留資格が与えられていました。2010年の改正で「就学」は廃止され、「留学」に一本化されました。
【他の選択肢】A：「研修」は技術・知識の修得を目的とする在留資格で、日本語学校とは異なります。C：「特定活動」はEPA候補者やワーキングホリデーなど特定の目的に使われる在留資格です。D：「文化活動」は茶道・華道など文化的活動のための在留資格です。</t>
        </is>
      </c>
      <c r="K10" s="2" t="inlineStr">
        <is>
          <t>教程1</t>
        </is>
      </c>
    </row>
    <row r="11" ht="45" customHeight="1">
      <c r="A11" s="2" t="n">
        <v>10</v>
      </c>
      <c r="B11" s="2" t="inlineStr">
        <is>
          <t>★</t>
        </is>
      </c>
      <c r="C11" s="2" t="inlineStr">
        <is>
          <t>国内の日本語教育実態調査を実施している機関はどこか（2024年度以降）。</t>
        </is>
      </c>
      <c r="D11" s="2" t="inlineStr">
        <is>
          <t>国際交流基金</t>
        </is>
      </c>
      <c r="E11" s="2" t="inlineStr">
        <is>
          <t>文部科学省</t>
        </is>
      </c>
      <c r="F11" s="2" t="inlineStr">
        <is>
          <t>外務省</t>
        </is>
      </c>
      <c r="G11" s="2" t="inlineStr">
        <is>
          <t>法務省</t>
        </is>
      </c>
      <c r="H11" s="2" t="inlineStr">
        <is>
          <t>B</t>
        </is>
      </c>
      <c r="I11" s="3">
        <f>IF(H11="","",IF(H11="B","〇","×"))</f>
        <v/>
      </c>
      <c r="J11" s="4" t="inlineStr">
        <is>
          <t>国内の日本語教育実態調査は、かつて文化庁が実施していましたが、2024年度以降は文部科学省に移管されました。日本語教育の所管自体が文化庁から文部科学省に移ったことに伴う変更です。
【他の選択肢】A：国際交流基金が実施するのは「海外日本語教育機関調査」であり、国内調査ではありません。C：外務省は外交関連の業務を担当しており、日本語教育調査は所管外です。D：法務省（出入国在留管理庁）は在留管理を担当しますが、教育調査は行いません。</t>
        </is>
      </c>
      <c r="K11" s="2" t="inlineStr">
        <is>
          <t>教程1</t>
        </is>
      </c>
    </row>
    <row r="12" ht="45" customHeight="1">
      <c r="A12" s="2" t="n">
        <v>11</v>
      </c>
      <c r="B12" s="2" t="inlineStr">
        <is>
          <t>★</t>
        </is>
      </c>
      <c r="C12" s="2" t="inlineStr">
        <is>
          <t>世界難民の日（World Refugee Day）はいつか。</t>
        </is>
      </c>
      <c r="D12" s="2" t="inlineStr">
        <is>
          <t>3月21日</t>
        </is>
      </c>
      <c r="E12" s="2" t="inlineStr">
        <is>
          <t>5月1日</t>
        </is>
      </c>
      <c r="F12" s="2" t="inlineStr">
        <is>
          <t>6月20日</t>
        </is>
      </c>
      <c r="G12" s="2" t="inlineStr">
        <is>
          <t>10月24日</t>
        </is>
      </c>
      <c r="H12" s="2" t="inlineStr">
        <is>
          <t>C</t>
        </is>
      </c>
      <c r="I12" s="3">
        <f>IF(H12="","",IF(H12="C","〇","×"))</f>
        <v/>
      </c>
      <c r="J12" s="4" t="inlineStr">
        <is>
          <t>世界難民の日（World Refugee Day）は毎年6月20日です。2000年の国連総会で制定され、難民の保護と支援への関心を高めることを目的としています。
【他の選択肢】A：3月21日は国際人種差別撤廃デーです。B：5月1日はメーデー（労働者の日）です。D：10月24日は国連デーです。いずれも世界難民の日ではありません。</t>
        </is>
      </c>
      <c r="K12" s="2" t="inlineStr">
        <is>
          <t>教程1</t>
        </is>
      </c>
    </row>
    <row r="13" ht="45" customHeight="1">
      <c r="A13" s="2" t="n">
        <v>12</v>
      </c>
      <c r="B13" s="2" t="inlineStr">
        <is>
          <t>★</t>
        </is>
      </c>
      <c r="C13" s="2" t="inlineStr">
        <is>
          <t>SDGsにおける教育目標の達成年限はいつか。</t>
        </is>
      </c>
      <c r="D13" s="2" t="inlineStr">
        <is>
          <t>2025年</t>
        </is>
      </c>
      <c r="E13" s="2" t="inlineStr">
        <is>
          <t>2030年</t>
        </is>
      </c>
      <c r="F13" s="2" t="inlineStr">
        <is>
          <t>2035年</t>
        </is>
      </c>
      <c r="G13" s="2" t="inlineStr">
        <is>
          <t>2050年</t>
        </is>
      </c>
      <c r="H13" s="2" t="inlineStr">
        <is>
          <t>B</t>
        </is>
      </c>
      <c r="I13" s="3">
        <f>IF(H13="","",IF(H13="B","〇","×"))</f>
        <v/>
      </c>
      <c r="J13" s="4" t="inlineStr">
        <is>
          <t>SDGs（持続可能な開発目標）では、目標4「質の高い教育をみんなに」を含む全17目標の達成年限を2030年と定めています。2015年の国連サミットで採択されました。
【他の選択肢】A：2025年はSDGsの達成期限ではありません。C：2035年も該当しません。D：2050年はカーボンニュートラルの目標年として知られますが、SDGsの期限ではありません。</t>
        </is>
      </c>
      <c r="K13" s="2" t="inlineStr">
        <is>
          <t>教程1</t>
        </is>
      </c>
    </row>
    <row r="14" ht="45" customHeight="1">
      <c r="A14" s="8" t="n">
        <v>13</v>
      </c>
      <c r="B14" s="8" t="inlineStr">
        <is>
          <t>★★★</t>
        </is>
      </c>
      <c r="C14" s="8" t="inlineStr">
        <is>
          <t>タイと日本の経済連携協定（EPA）が締結されたのは何年か。</t>
        </is>
      </c>
      <c r="D14" s="8" t="inlineStr">
        <is>
          <t>1985年</t>
        </is>
      </c>
      <c r="E14" s="8" t="inlineStr">
        <is>
          <t>1997年</t>
        </is>
      </c>
      <c r="F14" s="8" t="inlineStr">
        <is>
          <t>2007年</t>
        </is>
      </c>
      <c r="G14" s="8" t="inlineStr">
        <is>
          <t>2017年</t>
        </is>
      </c>
      <c r="H14" s="8" t="inlineStr">
        <is>
          <t>A</t>
        </is>
      </c>
      <c r="I14" s="9">
        <f>IF(H14="","",IF(H14="C","〇","×"))</f>
        <v/>
      </c>
      <c r="J14" s="10" t="inlineStr">
        <is>
          <t>日本とタイの経済連携協定（EPA: Economic Partnership Agreement）は2007年に締結されました。EPAは関税撤廃だけでなく、人の移動（看護師・介護福祉士候補者の受入れなど）も含む包括的な協定です。
【他の選択肢】A：1985年はプラザ合意の年で、先進5カ国が為替レート安定のために合意した年です。B：1997年は該当する出来事はありません（アジア通貨危機の年）。D：2017年は日タイ修好130周年に当たる年です。</t>
        </is>
      </c>
      <c r="K14" s="8" t="inlineStr">
        <is>
          <t>教程1</t>
        </is>
      </c>
    </row>
    <row r="15" ht="45" customHeight="1">
      <c r="A15" s="8" t="n">
        <v>14</v>
      </c>
      <c r="B15" s="8" t="inlineStr">
        <is>
          <t>★★★</t>
        </is>
      </c>
      <c r="C15" s="8" t="inlineStr">
        <is>
          <t>1980年に中国に設立された日本語教師再教育機関の通称は何か。</t>
        </is>
      </c>
      <c r="D15" s="8" t="inlineStr">
        <is>
          <t>北京日本学研究センター</t>
        </is>
      </c>
      <c r="E15" s="8" t="inlineStr">
        <is>
          <t>大平学校</t>
        </is>
      </c>
      <c r="F15" s="8" t="inlineStr">
        <is>
          <t>芝山巌学堂</t>
        </is>
      </c>
      <c r="G15" s="8" t="inlineStr">
        <is>
          <t>日語学堂</t>
        </is>
      </c>
      <c r="H15" s="8" t="inlineStr">
        <is>
          <t>D</t>
        </is>
      </c>
      <c r="I15" s="9">
        <f>IF(H15="","",IF(H15="B","〇","×"))</f>
        <v/>
      </c>
      <c r="J15" s="10" t="inlineStr">
        <is>
          <t>1980年に中国・北京と上海等に設立された日本語教師再教育機関は「大平学校」と通称されます。大平正芳首相（当時）の提案により設置され、中国の大学日本語教師の再研修を目的としていました。
【他の選択肢】A：北京日本学研究センターは1985年に発足した日本研究の拠点で、大平学校とは別の機関です。C：芝山巌学堂は1895年に伊沢修二が台湾に設立した日本語教育機関です。D：日語学堂は1891年に岡倉由三郎が朝鮮半島に開設した日本語教育機関です。</t>
        </is>
      </c>
      <c r="K15" s="8" t="inlineStr">
        <is>
          <t>教程1</t>
        </is>
      </c>
    </row>
    <row r="16" ht="45" customHeight="1">
      <c r="A16" s="2" t="n">
        <v>15</v>
      </c>
      <c r="B16" s="2" t="inlineStr">
        <is>
          <t>★</t>
        </is>
      </c>
      <c r="C16" s="2" t="inlineStr">
        <is>
          <t>1970年代後半以降に来日した外国人のことを何と言うか。</t>
        </is>
      </c>
      <c r="D16" s="2" t="inlineStr">
        <is>
          <t>オールドカマー</t>
        </is>
      </c>
      <c r="E16" s="2" t="inlineStr">
        <is>
          <t>ニューカマー</t>
        </is>
      </c>
      <c r="F16" s="2" t="inlineStr">
        <is>
          <t>ゲストワーカー</t>
        </is>
      </c>
      <c r="G16" s="2" t="inlineStr">
        <is>
          <t>日系人</t>
        </is>
      </c>
      <c r="H16" s="2" t="inlineStr">
        <is>
          <t>B</t>
        </is>
      </c>
      <c r="I16" s="3">
        <f>IF(H16="","",IF(H16="B","〇","×"))</f>
        <v/>
      </c>
      <c r="J16" s="4" t="inlineStr">
        <is>
          <t>1970年代後半以降に来日した外国人を「ニューカマー」と呼びます。インドシナ難民、日系人労働者、留学生、技能実習生などが含まれます。それに対し、戦前から日本に在住する在日コリアンなどを「オールドカマー」と呼びます。
【他の選択肢】A：オールドカマーは主に戦前・戦中に日本に移住し、定住した在日コリアンや在日中国人などを指します。B：ゲストワーカーは主にドイツなどヨーロッパで使われた外国人労働者の呼称です。D：日系人は日本にルーツを持つ海外移住者やその子孫を指す用語です。</t>
        </is>
      </c>
      <c r="K16" s="2" t="inlineStr">
        <is>
          <t>教程2</t>
        </is>
      </c>
    </row>
    <row r="17" ht="45" customHeight="1">
      <c r="A17" s="2" t="n">
        <v>16</v>
      </c>
      <c r="B17" s="2" t="inlineStr">
        <is>
          <t>★</t>
        </is>
      </c>
      <c r="C17" s="2" t="inlineStr">
        <is>
          <t>インドシナ3国に含まれない国はどれか。</t>
        </is>
      </c>
      <c r="D17" s="2" t="inlineStr">
        <is>
          <t>ベトナム</t>
        </is>
      </c>
      <c r="E17" s="2" t="inlineStr">
        <is>
          <t>カンボジア</t>
        </is>
      </c>
      <c r="F17" s="2" t="inlineStr">
        <is>
          <t>ラオス</t>
        </is>
      </c>
      <c r="G17" s="2" t="inlineStr">
        <is>
          <t>タイ</t>
        </is>
      </c>
      <c r="H17" s="2" t="inlineStr">
        <is>
          <t>A</t>
        </is>
      </c>
      <c r="I17" s="3">
        <f>IF(H17="","",IF(H17="D","〇","×"))</f>
        <v/>
      </c>
      <c r="J17" s="4" t="inlineStr">
        <is>
          <t>インドシナ3国とは、ベトナム・カンボジア・ラオスの3カ国を指します。1970年代の政変・紛争により多数の難民が発生し、日本も1978年からインドシナ難民の受入れを開始しました。タイはインドシナ3国には含まれません。
【他の選択肢】A：ベトナムはインドシナ3国の一つです（1975年のサイゴン陥落後、多数のボート・ピープルが発生）。B：カンボジアもインドシナ3国の一つです（クメール・ルージュ政権下で難民が発生）。C：ラオスもインドシナ3国の一つです。</t>
        </is>
      </c>
      <c r="K17" s="2" t="inlineStr">
        <is>
          <t>教程2</t>
        </is>
      </c>
    </row>
    <row r="18" ht="45" customHeight="1">
      <c r="A18" s="5" t="n">
        <v>17</v>
      </c>
      <c r="B18" s="5" t="inlineStr">
        <is>
          <t>★★</t>
        </is>
      </c>
      <c r="C18" s="5" t="inlineStr">
        <is>
          <t>日本が難民条約に加盟したのは何年か。</t>
        </is>
      </c>
      <c r="D18" s="5" t="inlineStr">
        <is>
          <t>1975年</t>
        </is>
      </c>
      <c r="E18" s="5" t="inlineStr">
        <is>
          <t>1979年</t>
        </is>
      </c>
      <c r="F18" s="5" t="inlineStr">
        <is>
          <t>1981年</t>
        </is>
      </c>
      <c r="G18" s="5" t="inlineStr">
        <is>
          <t>1990年</t>
        </is>
      </c>
      <c r="H18" s="5" t="inlineStr">
        <is>
          <t>C</t>
        </is>
      </c>
      <c r="I18" s="6">
        <f>IF(H18="","",IF(H18="C","〇","×"))</f>
        <v/>
      </c>
      <c r="J18" s="7" t="inlineStr">
        <is>
          <t>日本は1981年に難民条約（難民の地位に関する条約）に加盟しました。これにより、難民認定制度が整備され、国民健康保険や国民年金の国籍条項も撤廃されました。
【他の選択肢】A：1975年はベトナム戦争が終結した年で、インドシナ難民が発生し始めた時期です。B：1979年はODP（合法出国計画）が開始された年です。D：1990年は改正入管法が施行され、日系人に「定住者」の在留資格が付与された年です。</t>
        </is>
      </c>
      <c r="K18" s="5" t="inlineStr">
        <is>
          <t>教程2</t>
        </is>
      </c>
    </row>
    <row r="19" ht="45" customHeight="1">
      <c r="A19" s="2" t="n">
        <v>18</v>
      </c>
      <c r="B19" s="2" t="inlineStr">
        <is>
          <t>★</t>
        </is>
      </c>
      <c r="C19" s="2" t="inlineStr">
        <is>
          <t>中国帰国者とは何を指すか。</t>
        </is>
      </c>
      <c r="D19" s="2" t="inlineStr">
        <is>
          <t>中国から帰化した日本人</t>
        </is>
      </c>
      <c r="E19" s="2" t="inlineStr">
        <is>
          <t>中国残留孤児・残留婦人とその呼び寄せ家族の総称</t>
        </is>
      </c>
      <c r="F19" s="2" t="inlineStr">
        <is>
          <t>中国に留学した日本人</t>
        </is>
      </c>
      <c r="G19" s="2" t="inlineStr">
        <is>
          <t>中国で働く日本人駐在員</t>
        </is>
      </c>
      <c r="H19" s="2" t="inlineStr">
        <is>
          <t>B</t>
        </is>
      </c>
      <c r="I19" s="3">
        <f>IF(H19="","",IF(H19="B","〇","×"))</f>
        <v/>
      </c>
      <c r="J19" s="4" t="inlineStr">
        <is>
          <t>中国帰国者とは、第二次世界大戦後に中国に残された日本人（中国残留孤児・中国残留婦人）とその呼び寄せ家族の総称です。1972年の日中国交正常化以降、帰国が本格化しました。
【他の選択肢】A：中国帰国者は帰化した人ではなく、元々日本国籍を持つ残留孤児・残留婦人とその家族です。C：中国に留学した日本人は中国帰国者には該当しません。D：中国駐在員も中国帰国者とは全く異なる存在です。</t>
        </is>
      </c>
      <c r="K19" s="2" t="inlineStr">
        <is>
          <t>教程2</t>
        </is>
      </c>
    </row>
    <row r="20" ht="45" customHeight="1">
      <c r="A20" s="5" t="n">
        <v>19</v>
      </c>
      <c r="B20" s="5" t="inlineStr">
        <is>
          <t>★★</t>
        </is>
      </c>
      <c r="C20" s="5" t="inlineStr">
        <is>
          <t>南米日系人の集住地域として正しくないものはどれか。</t>
        </is>
      </c>
      <c r="D20" s="5" t="inlineStr">
        <is>
          <t>群馬県太田市</t>
        </is>
      </c>
      <c r="E20" s="5" t="inlineStr">
        <is>
          <t>愛知県豊田市</t>
        </is>
      </c>
      <c r="F20" s="5" t="inlineStr">
        <is>
          <t>東京都新宿区</t>
        </is>
      </c>
      <c r="G20" s="5" t="inlineStr">
        <is>
          <t>静岡県浜松市</t>
        </is>
      </c>
      <c r="H20" s="5" t="inlineStr">
        <is>
          <t>C</t>
        </is>
      </c>
      <c r="I20" s="6">
        <f>IF(H20="","",IF(H20="C","〇","×"))</f>
        <v/>
      </c>
      <c r="J20" s="7" t="inlineStr">
        <is>
          <t>南米日系人の集住地域として知られるのは、群馬県太田市・大泉町、愛知県豊田市・豊橋市、静岡県浜松市・磐田市、三重県鈴鹿市・四日市市などの製造業が盛んな地域です。東京都新宿区は集住地域には含まれません。
【他の選択肢】A：群馬県太田市は自動車産業（SUBARU）があり、日系人の集住地域です。B：愛知県豊田市はトヨタ自動車の本拠地で、日系人労働者が多数居住しています。D：静岡県浜松市は外国人集住都市会議の第1回開催地でもあり、代表的な集住地域です。</t>
        </is>
      </c>
      <c r="K20" s="5" t="inlineStr">
        <is>
          <t>教程2</t>
        </is>
      </c>
    </row>
    <row r="21" ht="45" customHeight="1">
      <c r="A21" s="2" t="n">
        <v>20</v>
      </c>
      <c r="B21" s="2" t="inlineStr">
        <is>
          <t>★</t>
        </is>
      </c>
      <c r="C21" s="2" t="inlineStr">
        <is>
          <t>在留資格「特定技能」が創設されたのは何年か。</t>
        </is>
      </c>
      <c r="D21" s="2" t="inlineStr">
        <is>
          <t>2017年</t>
        </is>
      </c>
      <c r="E21" s="2" t="inlineStr">
        <is>
          <t>2018年</t>
        </is>
      </c>
      <c r="F21" s="2" t="inlineStr">
        <is>
          <t>2019年</t>
        </is>
      </c>
      <c r="G21" s="2" t="inlineStr">
        <is>
          <t>2020年</t>
        </is>
      </c>
      <c r="H21" s="2" t="inlineStr">
        <is>
          <t>D</t>
        </is>
      </c>
      <c r="I21" s="3">
        <f>IF(H21="","",IF(H21="C","〇","×"))</f>
        <v/>
      </c>
      <c r="J21" s="4" t="inlineStr">
        <is>
          <t>在留資格「特定技能」は2019年4月に創設されました。深刻な人手不足に対応するため、一定の専門性・技能を持つ外国人材を受け入れる制度で、特定技能1号と2号があります。
【他の選択肢】A：2017年は技能実習法（外国人技能実習適正化法）が施行された年です。B：2018年12月は改正入管法が国会で成立した年ですが、施行は2019年4月です。D：2020年は施行後であり、創設年ではありません。</t>
        </is>
      </c>
      <c r="K21" s="2" t="inlineStr">
        <is>
          <t>教程2</t>
        </is>
      </c>
    </row>
    <row r="22" ht="45" customHeight="1">
      <c r="A22" s="2" t="n">
        <v>21</v>
      </c>
      <c r="B22" s="2" t="inlineStr">
        <is>
          <t>★</t>
        </is>
      </c>
      <c r="C22" s="2" t="inlineStr">
        <is>
          <t>特定技能1号の在留期間の上限はどれか。</t>
        </is>
      </c>
      <c r="D22" s="2" t="inlineStr">
        <is>
          <t>3年</t>
        </is>
      </c>
      <c r="E22" s="2" t="inlineStr">
        <is>
          <t>5年</t>
        </is>
      </c>
      <c r="F22" s="2" t="inlineStr">
        <is>
          <t>10年</t>
        </is>
      </c>
      <c r="G22" s="2" t="inlineStr">
        <is>
          <t>上限なし</t>
        </is>
      </c>
      <c r="H22" s="2" t="inlineStr">
        <is>
          <t>C</t>
        </is>
      </c>
      <c r="I22" s="3">
        <f>IF(H22="","",IF(H22="B","〇","×"))</f>
        <v/>
      </c>
      <c r="J22" s="4" t="inlineStr">
        <is>
          <t>特定技能1号の在留期間は通算5年が上限です。家族の帯同は認められていません。一方、特定技能2号は在留期間の上限がなく、更新が可能で、家族の帯同も認められています。
【他の選択肢】A：3年は技能実習2号の期間です。C：10年という上限は設定されていません。D：上限なしは特定技能2号の特徴で、1号には当てはまりません。特定技能2号は熟練した技能を持つ外国人向けで、在留期間の更新に上限がありません。</t>
        </is>
      </c>
      <c r="K22" s="2" t="inlineStr">
        <is>
          <t>教程2</t>
        </is>
      </c>
    </row>
    <row r="23" ht="45" customHeight="1">
      <c r="A23" s="5" t="n">
        <v>22</v>
      </c>
      <c r="B23" s="5" t="inlineStr">
        <is>
          <t>★★</t>
        </is>
      </c>
      <c r="C23" s="5" t="inlineStr">
        <is>
          <t>特定技能2号の対象から除かれている分野はどれか。</t>
        </is>
      </c>
      <c r="D23" s="5" t="inlineStr">
        <is>
          <t>建設</t>
        </is>
      </c>
      <c r="E23" s="5" t="inlineStr">
        <is>
          <t>介護</t>
        </is>
      </c>
      <c r="F23" s="5" t="inlineStr">
        <is>
          <t>農業</t>
        </is>
      </c>
      <c r="G23" s="5" t="inlineStr">
        <is>
          <t>宿泊</t>
        </is>
      </c>
      <c r="H23" s="5" t="inlineStr">
        <is>
          <t>D</t>
        </is>
      </c>
      <c r="I23" s="6">
        <f>IF(H23="","",IF(H23="B","〇","×"))</f>
        <v/>
      </c>
      <c r="J23" s="7" t="inlineStr">
        <is>
          <t>特定技能2号の対象から介護分野は除かれています。これは介護分野には既に「介護」という独自の在留資格があり、そちらで長期就労・永住への道が開かれているためです。
【他の選択肢】A：建設分野は特定技能2号の対象です。C：農業分野も2023年に特定技能2号の対象に追加されました。D：宿泊分野も2号の対象に追加されています。2023年の閣議決定で、介護を除く全分野が2号の対象となりました。</t>
        </is>
      </c>
      <c r="K23" s="5" t="inlineStr">
        <is>
          <t>教程2</t>
        </is>
      </c>
    </row>
    <row r="24" ht="45" customHeight="1">
      <c r="A24" s="5" t="n">
        <v>23</v>
      </c>
      <c r="B24" s="5" t="inlineStr">
        <is>
          <t>★★</t>
        </is>
      </c>
      <c r="C24" s="5" t="inlineStr">
        <is>
          <t>「日本語教育の推進に関する法律」が公布・施行されたのはいつか。</t>
        </is>
      </c>
      <c r="D24" s="5" t="inlineStr">
        <is>
          <t>2017年6月</t>
        </is>
      </c>
      <c r="E24" s="5" t="inlineStr">
        <is>
          <t>2018年12月</t>
        </is>
      </c>
      <c r="F24" s="5" t="inlineStr">
        <is>
          <t>2019年6月</t>
        </is>
      </c>
      <c r="G24" s="5" t="inlineStr">
        <is>
          <t>2020年4月</t>
        </is>
      </c>
      <c r="H24" s="5" t="inlineStr">
        <is>
          <t>C</t>
        </is>
      </c>
      <c r="I24" s="6">
        <f>IF(H24="","",IF(H24="C","〇","×"))</f>
        <v/>
      </c>
      <c r="J24" s="7" t="inlineStr">
        <is>
          <t>「日本語教育の推進に関する法律」（日本語教育推進法）は2019年6月28日に公布・施行されました。日本語教育に関する初めての法律で、国や地方公共団体の責務、基本方針の策定などを定めています。
【他の選択肢】A：2017年6月には該当する法律はありません。B：2018年12月は改正入管法（特定技能の在留資格創設）の成立時期です。D：2020年4月は該当しません。</t>
        </is>
      </c>
      <c r="K24" s="5" t="inlineStr">
        <is>
          <t>教程2</t>
        </is>
      </c>
    </row>
    <row r="25" ht="45" customHeight="1">
      <c r="A25" s="8" t="n">
        <v>24</v>
      </c>
      <c r="B25" s="8" t="inlineStr">
        <is>
          <t>★★★</t>
        </is>
      </c>
      <c r="C25" s="8" t="inlineStr">
        <is>
          <t>「外国人との共生社会の実現に向けたロードマップ」の目標年度はいつまでか。</t>
        </is>
      </c>
      <c r="D25" s="8" t="inlineStr">
        <is>
          <t>2024年度</t>
        </is>
      </c>
      <c r="E25" s="8" t="inlineStr">
        <is>
          <t>2025年度</t>
        </is>
      </c>
      <c r="F25" s="8" t="inlineStr">
        <is>
          <t>2026年度</t>
        </is>
      </c>
      <c r="G25" s="8" t="inlineStr">
        <is>
          <t>2030年度</t>
        </is>
      </c>
      <c r="H25" s="8" t="inlineStr">
        <is>
          <t>D</t>
        </is>
      </c>
      <c r="I25" s="9">
        <f>IF(H25="","",IF(H25="C","〇","×"))</f>
        <v/>
      </c>
      <c r="J25" s="10" t="inlineStr">
        <is>
          <t>「外国人との共生社会の実現に向けたロードマップ」は、外国人材の受入れ・共生に関する関係閣僚会議が策定したもので、目標年度は2026年度までとされています。
【他の選択肢】A：2024年度は目標年度ではありません。B：2025年度も目標年度ではありません。D：2030年度はSDGsの達成期限であり、このロードマップの目標年度ではありません。</t>
        </is>
      </c>
      <c r="K25" s="8" t="inlineStr">
        <is>
          <t>教程2</t>
        </is>
      </c>
    </row>
    <row r="26" ht="45" customHeight="1">
      <c r="A26" s="5" t="n">
        <v>25</v>
      </c>
      <c r="B26" s="5" t="inlineStr">
        <is>
          <t>★★</t>
        </is>
      </c>
      <c r="C26" s="5" t="inlineStr">
        <is>
          <t>「日本語教育の参照枠」の言語教育観の柱に含まれないものはどれか。</t>
        </is>
      </c>
      <c r="D26" s="5" t="inlineStr">
        <is>
          <t>日本語学習者を社会的存在として捉える</t>
        </is>
      </c>
      <c r="E26" s="5" t="inlineStr">
        <is>
          <t>言語を使って「できること」に注目する</t>
        </is>
      </c>
      <c r="F26" s="5" t="inlineStr">
        <is>
          <t>多様な日本語使用を尊重する</t>
        </is>
      </c>
      <c r="G26" s="5" t="inlineStr">
        <is>
          <t>文法の正確さを最優先する</t>
        </is>
      </c>
      <c r="H26" s="5" t="inlineStr">
        <is>
          <t>D</t>
        </is>
      </c>
      <c r="I26" s="6">
        <f>IF(H26="","",IF(H26="D","〇","×"))</f>
        <v/>
      </c>
      <c r="J26" s="7" t="inlineStr">
        <is>
          <t>「日本語教育の参照枠」の言語教育観は3つの柱で構成されています：①日本語学習者を社会的存在として捉える、②言語を使って「できること」に注目する、③多様な日本語使用を尊重する。「文法の正確さを最優先する」は柱に含まれていません。
【他の選択肢】A：「日本語学習者を社会的存在として捉える」は3つの柱の一つです。B：「言語を使ってできることに注目する」も柱の一つで、Can-doの考え方に基づきます。C：「多様な日本語使用を尊重する」も柱の一つで、「正しい日本語」を一つに限定しない考え方です。</t>
        </is>
      </c>
      <c r="K26" s="5" t="inlineStr">
        <is>
          <t>教程2</t>
        </is>
      </c>
    </row>
    <row r="27" ht="45" customHeight="1">
      <c r="A27" s="2" t="n">
        <v>26</v>
      </c>
      <c r="B27" s="2" t="inlineStr">
        <is>
          <t>★</t>
        </is>
      </c>
      <c r="C27" s="2" t="inlineStr">
        <is>
          <t>「生活者としての外国人」のための日本語教育の目的は何か。</t>
        </is>
      </c>
      <c r="D27" s="2" t="inlineStr">
        <is>
          <t>JLPT N1合格</t>
        </is>
      </c>
      <c r="E27" s="2" t="inlineStr">
        <is>
          <t>日本語で意思疎通を図り生活できるようになること</t>
        </is>
      </c>
      <c r="F27" s="2" t="inlineStr">
        <is>
          <t>大学進学</t>
        </is>
      </c>
      <c r="G27" s="2" t="inlineStr">
        <is>
          <t>日本語教師資格取得</t>
        </is>
      </c>
      <c r="H27" s="2" t="inlineStr">
        <is>
          <t>B</t>
        </is>
      </c>
      <c r="I27" s="3">
        <f>IF(H27="","",IF(H27="B","〇","×"))</f>
        <v/>
      </c>
      <c r="J27" s="4" t="inlineStr">
        <is>
          <t>「生活者としての外国人」のための日本語教育は、日本で日常生活を営む外国人が日本語で意思疎通を図り、生活できるようになることを目的としています。試験合格や進学が目的ではなく、生活に必要な日本語力の習得が目標です。
【他の選択肢】A：JLPT N1合格は日本語能力の証明としては重要ですが、生活者としての外国人への日本語教育の目的ではありません。C：大学進学は留学生向けの日本語教育の目的です。D：日本語教師資格取得は教師養成の目的です。</t>
        </is>
      </c>
      <c r="K27" s="2" t="inlineStr">
        <is>
          <t>教程2</t>
        </is>
      </c>
    </row>
    <row r="28" ht="45" customHeight="1">
      <c r="A28" s="5" t="n">
        <v>27</v>
      </c>
      <c r="B28" s="5" t="inlineStr">
        <is>
          <t>★★</t>
        </is>
      </c>
      <c r="C28" s="5" t="inlineStr">
        <is>
          <t>地域日本語教育のコーディネーターの役割に含まれないものはどれか。</t>
        </is>
      </c>
      <c r="D28" s="5" t="inlineStr">
        <is>
          <t>住民の参加促進</t>
        </is>
      </c>
      <c r="E28" s="5" t="inlineStr">
        <is>
          <t>対話・協働の推進</t>
        </is>
      </c>
      <c r="F28" s="5" t="inlineStr">
        <is>
          <t>JLPT採点</t>
        </is>
      </c>
      <c r="G28" s="5" t="inlineStr">
        <is>
          <t>連携・ネットワークの推進</t>
        </is>
      </c>
      <c r="H28" s="5" t="inlineStr">
        <is>
          <t>C</t>
        </is>
      </c>
      <c r="I28" s="6">
        <f>IF(H28="","",IF(H28="C","〇","×"))</f>
        <v/>
      </c>
      <c r="J28" s="7" t="inlineStr">
        <is>
          <t>地域日本語教育のコーディネーターの役割は、住民の参加促進、対話・協働の推進、連携・ネットワークの推進などです。JLPTの採点は試験実施機関の業務であり、コーディネーターの役割ではありません。
【他の選択肢】A：住民の参加促進はコーディネーターの重要な役割の一つです。B：対話・協働の推進も役割に含まれます。D：連携・ネットワークの推進も含まれ、行政・NPO・学校・企業などとの連携を図ります。</t>
        </is>
      </c>
      <c r="K28" s="5" t="inlineStr">
        <is>
          <t>教程2</t>
        </is>
      </c>
    </row>
    <row r="29" ht="45" customHeight="1">
      <c r="A29" s="5" t="n">
        <v>28</v>
      </c>
      <c r="B29" s="5" t="inlineStr">
        <is>
          <t>★★</t>
        </is>
      </c>
      <c r="C29" s="5" t="inlineStr">
        <is>
          <t>1990年の入管法施行で日系人に与えられた在留資格は何か。</t>
        </is>
      </c>
      <c r="D29" s="5" t="inlineStr">
        <is>
          <t>永住者</t>
        </is>
      </c>
      <c r="E29" s="5" t="inlineStr">
        <is>
          <t>定住者</t>
        </is>
      </c>
      <c r="F29" s="5" t="inlineStr">
        <is>
          <t>特定活動</t>
        </is>
      </c>
      <c r="G29" s="5" t="inlineStr">
        <is>
          <t>技能実習</t>
        </is>
      </c>
      <c r="H29" s="5" t="inlineStr">
        <is>
          <t>B</t>
        </is>
      </c>
      <c r="I29" s="6">
        <f>IF(H29="","",IF(H29="B","〇","×"))</f>
        <v/>
      </c>
      <c r="J29" s="7" t="inlineStr">
        <is>
          <t>1990年の改正入管法施行により、日系2世・3世とその配偶者に「定住者」の在留資格が付与されました。これにより日系ブラジル人・日系ペルー人などの南米日系人が大量に来日し、製造業の現場で就労するようになりました。
【他の選択肢】A：「永住者」は長期在留の外国人に与えられる在留資格で、1990年の入管法改正で日系人に付与されたのは「定住者」です。C：「特定活動」はEPA候補者等のための在留資格です。D：「技能実習」は1993年に発足した制度の在留資格です。</t>
        </is>
      </c>
      <c r="K29" s="5" t="inlineStr">
        <is>
          <t>教程2</t>
        </is>
      </c>
    </row>
    <row r="30" ht="45" customHeight="1">
      <c r="A30" s="2" t="n">
        <v>29</v>
      </c>
      <c r="B30" s="2" t="inlineStr">
        <is>
          <t>★</t>
        </is>
      </c>
      <c r="C30" s="2" t="inlineStr">
        <is>
          <t>日本語教育の歴史で、20世紀初〜1945年の時期を何と呼ぶか。</t>
        </is>
      </c>
      <c r="D30" s="2" t="inlineStr">
        <is>
          <t>日本語学習期</t>
        </is>
      </c>
      <c r="E30" s="2" t="inlineStr">
        <is>
          <t>国語（日本語）教育期</t>
        </is>
      </c>
      <c r="F30" s="2" t="inlineStr">
        <is>
          <t>日本語教育期</t>
        </is>
      </c>
      <c r="G30" s="2" t="inlineStr">
        <is>
          <t>日本語普及期</t>
        </is>
      </c>
      <c r="H30" s="2" t="inlineStr">
        <is>
          <t>A</t>
        </is>
      </c>
      <c r="I30" s="3">
        <f>IF(H30="","",IF(H30="B","〇","×"))</f>
        <v/>
      </c>
      <c r="J30" s="4" t="inlineStr">
        <is>
          <t>日本語教育の歴史は3期に区分されます。①日本語学習期（19世紀末まで）：外国人が自発的に日本語を学んだ時期、②国語（日本語）教育期（20世紀初〜1945年）：植民地・占領地で日本語を「国語」として教育した時期、③日本語教育期（1945年〜）：外国語としての日本語教育が確立した時期。
【他の選択肢】A：「日本語学習期」は19世紀末までの時期で、キリスト教宣教師や蘭学者など外国人が自発的に日本語を学んだ時代です。C：「日本語教育期」は1945年以降、外国語としての日本語教育が確立・発展した時代です。D：「日本語普及期」という区分は一般的に使われていません。</t>
        </is>
      </c>
      <c r="K30" s="2" t="inlineStr">
        <is>
          <t>教程3</t>
        </is>
      </c>
    </row>
    <row r="31" ht="45" customHeight="1">
      <c r="A31" s="5" t="n">
        <v>30</v>
      </c>
      <c r="B31" s="5" t="inlineStr">
        <is>
          <t>★★</t>
        </is>
      </c>
      <c r="C31" s="5" t="inlineStr">
        <is>
          <t>台湾で芝山巌学堂を創立した人物は誰か。</t>
        </is>
      </c>
      <c r="D31" s="5" t="inlineStr">
        <is>
          <t>山口喜一郎</t>
        </is>
      </c>
      <c r="E31" s="5" t="inlineStr">
        <is>
          <t>伊沢修二</t>
        </is>
      </c>
      <c r="F31" s="5" t="inlineStr">
        <is>
          <t>岡倉由三郎</t>
        </is>
      </c>
      <c r="G31" s="5" t="inlineStr">
        <is>
          <t>大出正篤</t>
        </is>
      </c>
      <c r="H31" s="5" t="inlineStr">
        <is>
          <t>D</t>
        </is>
      </c>
      <c r="I31" s="6">
        <f>IF(H31="","",IF(H31="B","〇","×"))</f>
        <v/>
      </c>
      <c r="J31" s="7" t="inlineStr">
        <is>
          <t>伊沢修二は1895年に台湾で芝山巌学堂を創立し、日本語（国語）教育を開始しました。日本の植民地における最初期の日本語教育機関です。伊沢は「国語」教育こそが植民地統治の基盤と考えていました。
【他の選択肢】A：山口喜一郎はグアン・メソッド（グアン式教授法）を改良して独自の直接法による日本語教授法を開発した人物です。C：岡倉由三郎は1891年に朝鮮半島で日語学堂を開設した人物です。D：大出正篤は満州国で速成式の日本語教材を開発した人物です。</t>
        </is>
      </c>
      <c r="K31" s="5" t="inlineStr">
        <is>
          <t>教程3</t>
        </is>
      </c>
    </row>
    <row r="32" ht="45" customHeight="1">
      <c r="A32" s="5" t="n">
        <v>31</v>
      </c>
      <c r="B32" s="5" t="inlineStr">
        <is>
          <t>★★</t>
        </is>
      </c>
      <c r="C32" s="5" t="inlineStr">
        <is>
          <t>グアン・メソッドを改良して独自の教授法を開発した人物は誰か。</t>
        </is>
      </c>
      <c r="D32" s="5" t="inlineStr">
        <is>
          <t>伊沢修二</t>
        </is>
      </c>
      <c r="E32" s="5" t="inlineStr">
        <is>
          <t>岡倉由三郎</t>
        </is>
      </c>
      <c r="F32" s="5" t="inlineStr">
        <is>
          <t>山口喜一郎</t>
        </is>
      </c>
      <c r="G32" s="5" t="inlineStr">
        <is>
          <t>大出正篤</t>
        </is>
      </c>
      <c r="H32" s="5" t="inlineStr">
        <is>
          <t>D</t>
        </is>
      </c>
      <c r="I32" s="6">
        <f>IF(H32="","",IF(H32="C","〇","×"))</f>
        <v/>
      </c>
      <c r="J32" s="7" t="inlineStr">
        <is>
          <t>山口喜一郎は、フランソワ・グアンが考案したグアン・メソッド（動作の連鎖を利用した教授法）を改良し、台湾での日本語教育に適した独自の直接法を開発しました。
【他の選択肢】A：伊沢修二は芝山巌学堂の創立者であり、グアン・メソッドの改良者ではありません。B：岡倉由三郎は朝鮮半島で日語学堂を開いた人物です。D：大出正篤は満州国で速成式教材を開発した人物で、グアン・メソッドとは関係ありません。</t>
        </is>
      </c>
      <c r="K32" s="5" t="inlineStr">
        <is>
          <t>教程3</t>
        </is>
      </c>
    </row>
    <row r="33" ht="45" customHeight="1">
      <c r="A33" s="5" t="n">
        <v>32</v>
      </c>
      <c r="B33" s="5" t="inlineStr">
        <is>
          <t>★★</t>
        </is>
      </c>
      <c r="C33" s="5" t="inlineStr">
        <is>
          <t>1891年に朝鮮半島に日語学堂を開いた人物は誰か。</t>
        </is>
      </c>
      <c r="D33" s="5" t="inlineStr">
        <is>
          <t>山口喜一郎</t>
        </is>
      </c>
      <c r="E33" s="5" t="inlineStr">
        <is>
          <t>伊沢修二</t>
        </is>
      </c>
      <c r="F33" s="5" t="inlineStr">
        <is>
          <t>岡倉由三郎</t>
        </is>
      </c>
      <c r="G33" s="5" t="inlineStr">
        <is>
          <t>大出正篤</t>
        </is>
      </c>
      <c r="H33" s="5" t="inlineStr">
        <is>
          <t>C</t>
        </is>
      </c>
      <c r="I33" s="6">
        <f>IF(H33="","",IF(H33="C","〇","×"))</f>
        <v/>
      </c>
      <c r="J33" s="7" t="inlineStr">
        <is>
          <t>岡倉由三郎は1891年に朝鮮半島に日語学堂を開設し、日本語教育を行いました。岡倉は英語教育研究者としても知られ、英語学者・岡倉天心の弟です。
【他の選択肢】A：山口喜一郎は台湾でグアン・メソッドを改良した人物です。B：伊沢修二も台湾（芝山巌学堂）の人物です。D：大出正篤は満州国で活動した日本語教育者です。</t>
        </is>
      </c>
      <c r="K33" s="5" t="inlineStr">
        <is>
          <t>教程3</t>
        </is>
      </c>
    </row>
    <row r="34" ht="45" customHeight="1">
      <c r="A34" s="2" t="n">
        <v>33</v>
      </c>
      <c r="B34" s="2" t="inlineStr">
        <is>
          <t>★</t>
        </is>
      </c>
      <c r="C34" s="2" t="inlineStr">
        <is>
          <t>1919年に朝鮮半島で起きた民族独立運動を何と言うか。</t>
        </is>
      </c>
      <c r="D34" s="2" t="inlineStr">
        <is>
          <t>辛亥革命</t>
        </is>
      </c>
      <c r="E34" s="2" t="inlineStr">
        <is>
          <t>三・一独立運動</t>
        </is>
      </c>
      <c r="F34" s="2" t="inlineStr">
        <is>
          <t>五・四運動</t>
        </is>
      </c>
      <c r="G34" s="2" t="inlineStr">
        <is>
          <t>甲午農民戦争</t>
        </is>
      </c>
      <c r="H34" s="2" t="inlineStr">
        <is>
          <t>B</t>
        </is>
      </c>
      <c r="I34" s="3">
        <f>IF(H34="","",IF(H34="B","〇","×"))</f>
        <v/>
      </c>
      <c r="J34" s="4" t="inlineStr">
        <is>
          <t>1919年に朝鮮半島で起きた民族独立運動は「三・一独立運動」と呼ばれます。日本の植民地支配に対する大規模な抗日独立運動で、これを契機に日本は「武断政治」から「文化政治」へと統治方針を転換しました。
【他の選択肢】A：辛亥革命は1911年に中国で起きた革命で、清朝が倒れて中華民国が成立しました。C：五・四運動は1919年に中国で起きた反日・反帝国主義運動で、朝鮮半島の運動ではありません。D：甲午農民戦争（東学農民運動）は1894年の朝鮮半島での農民反乱です。</t>
        </is>
      </c>
      <c r="K34" s="2" t="inlineStr">
        <is>
          <t>教程3</t>
        </is>
      </c>
    </row>
    <row r="35" ht="45" customHeight="1">
      <c r="A35" s="5" t="n">
        <v>34</v>
      </c>
      <c r="B35" s="5" t="inlineStr">
        <is>
          <t>★★</t>
        </is>
      </c>
      <c r="C35" s="5" t="inlineStr">
        <is>
          <t>満州国の建国の理念は何か。</t>
        </is>
      </c>
      <c r="D35" s="5" t="inlineStr">
        <is>
          <t>八紘一宇</t>
        </is>
      </c>
      <c r="E35" s="5" t="inlineStr">
        <is>
          <t>五族協和</t>
        </is>
      </c>
      <c r="F35" s="5" t="inlineStr">
        <is>
          <t>大東亜共栄</t>
        </is>
      </c>
      <c r="G35" s="5" t="inlineStr">
        <is>
          <t>富国強兵</t>
        </is>
      </c>
      <c r="H35" s="5" t="inlineStr">
        <is>
          <t>C</t>
        </is>
      </c>
      <c r="I35" s="6">
        <f>IF(H35="","",IF(H35="B","〇","×"))</f>
        <v/>
      </c>
      <c r="J35" s="7" t="inlineStr">
        <is>
          <t>満州国（1932〜1945年）の建国理念は「五族協和」です。日本人・漢人・朝鮮人・満州人・蒙古人の5民族が協力して暮らすという理念ですが、実態は日本の傀儡国家でした。
【他の選択肢】A：「八紘一宇」は日本の戦時スローガンで、満州国の建国理念ではありません。C：「大東亜共栄」は日本の戦時中の対アジア政策の理念です。D：「富国強兵」は明治時代の日本の国策スローガンです。</t>
        </is>
      </c>
      <c r="K35" s="5" t="inlineStr">
        <is>
          <t>教程3</t>
        </is>
      </c>
    </row>
    <row r="36" ht="45" customHeight="1">
      <c r="A36" s="8" t="n">
        <v>35</v>
      </c>
      <c r="B36" s="8" t="inlineStr">
        <is>
          <t>★★★</t>
        </is>
      </c>
      <c r="C36" s="8" t="inlineStr">
        <is>
          <t>1942年に文部省が開設した東南アジア向け日本語教育要員養成機関は何か。</t>
        </is>
      </c>
      <c r="D36" s="8" t="inlineStr">
        <is>
          <t>大平学校</t>
        </is>
      </c>
      <c r="E36" s="8" t="inlineStr">
        <is>
          <t>南方派遣日本語教育要員養成所</t>
        </is>
      </c>
      <c r="F36" s="8" t="inlineStr">
        <is>
          <t>国語伝習所</t>
        </is>
      </c>
      <c r="G36" s="8" t="inlineStr">
        <is>
          <t>日語学堂</t>
        </is>
      </c>
      <c r="H36" s="8" t="inlineStr">
        <is>
          <t>B</t>
        </is>
      </c>
      <c r="I36" s="9">
        <f>IF(H36="","",IF(H36="B","〇","×"))</f>
        <v/>
      </c>
      <c r="J36" s="10" t="inlineStr">
        <is>
          <t>1942年に文部省が開設した「南方派遣日本語教育要員養成所」は、東南アジア占領地域に派遣する日本語教育要員を養成するための機関です。太平洋戦争中、占領地での日本語普及のために設置されました。
【他の選択肢】A：大平学校は1980年に中国に設立された日本語教師再教育機関です。C：国語伝習所は1896年に台湾に設置された日本語教育機関です。D：日語学堂は1891年に朝鮮半島に開設された日本語教育機関です。</t>
        </is>
      </c>
      <c r="K36" s="8" t="inlineStr">
        <is>
          <t>教程3</t>
        </is>
      </c>
    </row>
    <row r="37" ht="45" customHeight="1">
      <c r="A37" s="8" t="n">
        <v>36</v>
      </c>
      <c r="B37" s="8" t="inlineStr">
        <is>
          <t>★★★</t>
        </is>
      </c>
      <c r="C37" s="8" t="inlineStr">
        <is>
          <t>関東州での日本語教育で主流だった教授法は何か。</t>
        </is>
      </c>
      <c r="D37" s="8" t="inlineStr">
        <is>
          <t>直接法</t>
        </is>
      </c>
      <c r="E37" s="8" t="inlineStr">
        <is>
          <t>対訳法</t>
        </is>
      </c>
      <c r="F37" s="8" t="inlineStr">
        <is>
          <t>オーディオリンガル法</t>
        </is>
      </c>
      <c r="G37" s="8" t="inlineStr">
        <is>
          <t>コミュニカティブ・アプローチ</t>
        </is>
      </c>
      <c r="H37" s="8" t="n"/>
      <c r="I37" s="9">
        <f>IF(H37="","",IF(H37="B","〇","×"))</f>
        <v/>
      </c>
      <c r="J37" s="10" t="inlineStr">
        <is>
          <t>関東州（中国遼東半島の租借地）での日本語教育では、中国語を媒介語とする「対訳法」が主流でした。台湾や朝鮮半島で用いられた直接法とは異なるアプローチです。
【他の選択肢】A：直接法は台湾などで用いられた方法で、媒介語を使わず日本語のみで教える方法です。C：オーディオリンガル法は1950年代以降にアメリカで発展した教授法で、時代が異なります。D：コミュニカティブ・アプローチは1970年代以降の教授法で、関東州の時代には存在しません。</t>
        </is>
      </c>
      <c r="K37" s="8" t="inlineStr">
        <is>
          <t>教程3</t>
        </is>
      </c>
    </row>
    <row r="38" ht="45" customHeight="1">
      <c r="A38" s="5" t="n">
        <v>37</v>
      </c>
      <c r="B38" s="5" t="inlineStr">
        <is>
          <t>★★</t>
        </is>
      </c>
      <c r="C38" s="5" t="inlineStr">
        <is>
          <t>国立国語研究所が創設されたのは何年か。</t>
        </is>
      </c>
      <c r="D38" s="5" t="inlineStr">
        <is>
          <t>1945年</t>
        </is>
      </c>
      <c r="E38" s="5" t="inlineStr">
        <is>
          <t>1948年</t>
        </is>
      </c>
      <c r="F38" s="5" t="inlineStr">
        <is>
          <t>1972年</t>
        </is>
      </c>
      <c r="G38" s="5" t="inlineStr">
        <is>
          <t>1977年</t>
        </is>
      </c>
      <c r="H38" s="5" t="n"/>
      <c r="I38" s="6">
        <f>IF(H38="","",IF(H38="B","〇","×"))</f>
        <v/>
      </c>
      <c r="J38" s="7" t="inlineStr">
        <is>
          <t>国立国語研究所は1948年に創設された日本語・日本語教育に関する研究機関です。現在は大学共同利用機関法人として、日本語コーパスの開発や日本語の研究を行っています。
【他の選択肢】A：1945年は終戦の年で、国立国語研究所の設立はその3年後です。C：1972年は国際交流基金が設立された年です。D：1977年は日本語教育学会が設立された年です。</t>
        </is>
      </c>
      <c r="K38" s="5" t="inlineStr">
        <is>
          <t>教程3</t>
        </is>
      </c>
    </row>
    <row r="39" ht="45" customHeight="1">
      <c r="A39" s="5" t="n">
        <v>38</v>
      </c>
      <c r="B39" s="5" t="inlineStr">
        <is>
          <t>★★</t>
        </is>
      </c>
      <c r="C39" s="5" t="inlineStr">
        <is>
          <t>日本語教育学会が設立されたのは何年か。</t>
        </is>
      </c>
      <c r="D39" s="5" t="inlineStr">
        <is>
          <t>1948年</t>
        </is>
      </c>
      <c r="E39" s="5" t="inlineStr">
        <is>
          <t>1972年</t>
        </is>
      </c>
      <c r="F39" s="5" t="inlineStr">
        <is>
          <t>1977年</t>
        </is>
      </c>
      <c r="G39" s="5" t="inlineStr">
        <is>
          <t>2004年</t>
        </is>
      </c>
      <c r="H39" s="5" t="n"/>
      <c r="I39" s="6">
        <f>IF(H39="","",IF(H39="C","〇","×"))</f>
        <v/>
      </c>
      <c r="J39" s="7" t="inlineStr">
        <is>
          <t>日本語教育学会は1977年に設立された、日本語教育に関する学術研究団体です。学会誌『日本語教育』の発行や研究大会の開催を行っています。
【他の選択肢】A：1948年は国立国語研究所の創設年です。B：1972年は国際交流基金の設立年です。D：2004年はJASSO（日本学生支援機構）の設立年です。</t>
        </is>
      </c>
      <c r="K39" s="5" t="inlineStr">
        <is>
          <t>教程3</t>
        </is>
      </c>
    </row>
    <row r="40" ht="45" customHeight="1">
      <c r="A40" s="2" t="n">
        <v>39</v>
      </c>
      <c r="B40" s="2" t="inlineStr">
        <is>
          <t>★</t>
        </is>
      </c>
      <c r="C40" s="2" t="inlineStr">
        <is>
          <t>国際交流基金が設立されたのは何年か。</t>
        </is>
      </c>
      <c r="D40" s="2" t="inlineStr">
        <is>
          <t>1948年</t>
        </is>
      </c>
      <c r="E40" s="2" t="inlineStr">
        <is>
          <t>1972年</t>
        </is>
      </c>
      <c r="F40" s="2" t="inlineStr">
        <is>
          <t>1977年</t>
        </is>
      </c>
      <c r="G40" s="2" t="inlineStr">
        <is>
          <t>2004年</t>
        </is>
      </c>
      <c r="H40" s="2" t="n"/>
      <c r="I40" s="3">
        <f>IF(H40="","",IF(H40="B","〇","×"))</f>
        <v/>
      </c>
      <c r="J40" s="4" t="inlineStr">
        <is>
          <t>国際交流基金（The Japan Foundation）は1972年に設立された独立行政法人で、国際文化交流事業を実施しています。海外での日本語教育支援、JLPT（日本語能力試験）の海外実施などを担っています。
【他の選択肢】A：1948年は国立国語研究所の創設年です。C：1977年は日本語教育学会の設立年です。D：2004年はJASSO（日本学生支援機構）の設立年です。</t>
        </is>
      </c>
      <c r="K40" s="2" t="inlineStr">
        <is>
          <t>教程3</t>
        </is>
      </c>
    </row>
    <row r="41" ht="45" customHeight="1">
      <c r="A41" s="2" t="n">
        <v>40</v>
      </c>
      <c r="B41" s="2" t="inlineStr">
        <is>
          <t>★</t>
        </is>
      </c>
      <c r="C41" s="2" t="inlineStr">
        <is>
          <t>JASSOが誕生したのは何年か。</t>
        </is>
      </c>
      <c r="D41" s="2" t="inlineStr">
        <is>
          <t>1977年</t>
        </is>
      </c>
      <c r="E41" s="2" t="inlineStr">
        <is>
          <t>1996年</t>
        </is>
      </c>
      <c r="F41" s="2" t="inlineStr">
        <is>
          <t>2004年</t>
        </is>
      </c>
      <c r="G41" s="2" t="inlineStr">
        <is>
          <t>2009年</t>
        </is>
      </c>
      <c r="H41" s="2" t="n"/>
      <c r="I41" s="3">
        <f>IF(H41="","",IF(H41="C","〇","×"))</f>
        <v/>
      </c>
      <c r="J41" s="4" t="inlineStr">
        <is>
          <t>JASSO（日本学生支援機構: Japan Student Services Organization）は2004年に設立されました。日本育英会、日本国際教育協会、国際学友会などが統合されて誕生した組織で、日本留学試験（EJU）の実施や奨学金事業を行っています。
【他の選択肢】A：1977年は日本語教育学会の設立年です。B：1996年は該当する機関設立はありません。D：2009年は該当しません。</t>
        </is>
      </c>
      <c r="K41" s="2" t="inlineStr">
        <is>
          <t>教程3</t>
        </is>
      </c>
    </row>
    <row r="42" ht="45" customHeight="1">
      <c r="A42" s="2" t="n">
        <v>41</v>
      </c>
      <c r="B42" s="2" t="inlineStr">
        <is>
          <t>★</t>
        </is>
      </c>
      <c r="C42" s="2" t="inlineStr">
        <is>
          <t>JLPTの国内実施機関はどこか。</t>
        </is>
      </c>
      <c r="D42" s="2" t="inlineStr">
        <is>
          <t>国際交流基金</t>
        </is>
      </c>
      <c r="E42" s="2" t="inlineStr">
        <is>
          <t>日本学生支援機構</t>
        </is>
      </c>
      <c r="F42" s="2" t="inlineStr">
        <is>
          <t>日本国際教育支援協会</t>
        </is>
      </c>
      <c r="G42" s="2" t="inlineStr">
        <is>
          <t>国立国語研究所</t>
        </is>
      </c>
      <c r="H42" s="2" t="n"/>
      <c r="I42" s="3">
        <f>IF(H42="","",IF(H42="C","〇","×"))</f>
        <v/>
      </c>
      <c r="J42" s="4" t="inlineStr">
        <is>
          <t>JLPT（日本語能力試験）の国内実施機関はJEES（日本国際教育支援協会）です。海外実施は国際交流基金が担当しており、両機関が共催する形をとっています。
【他の選択肢】A：国際交流基金はJLPTの海外実施機関です。国内実施はJEESの担当です。B：日本学生支援機構（JASSO）はEJU（日本留学試験）の実施機関であり、JLPTではありません。D：国立国語研究所は日本語の研究機関であり、試験実施機関ではありません。</t>
        </is>
      </c>
      <c r="K42" s="2" t="inlineStr">
        <is>
          <t>教程3</t>
        </is>
      </c>
    </row>
    <row r="43" ht="45" customHeight="1">
      <c r="A43" s="2" t="n">
        <v>42</v>
      </c>
      <c r="B43" s="2" t="inlineStr">
        <is>
          <t>★</t>
        </is>
      </c>
      <c r="C43" s="2" t="inlineStr">
        <is>
          <t>JLPTのレベルはいくつあるか。</t>
        </is>
      </c>
      <c r="D43" s="2" t="inlineStr">
        <is>
          <t>3つ</t>
        </is>
      </c>
      <c r="E43" s="2" t="inlineStr">
        <is>
          <t>4つ</t>
        </is>
      </c>
      <c r="F43" s="2" t="inlineStr">
        <is>
          <t>5つ</t>
        </is>
      </c>
      <c r="G43" s="2" t="inlineStr">
        <is>
          <t>6つ</t>
        </is>
      </c>
      <c r="H43" s="2" t="n"/>
      <c r="I43" s="3">
        <f>IF(H43="","",IF(H43="C","〇","×"))</f>
        <v/>
      </c>
      <c r="J43" s="4" t="inlineStr">
        <is>
          <t>JLPTのレベルはN1〜N5の5つです。2010年の改定で、それまでの4段階（1〜4級）から5段階になりました。N1が最も高いレベルで、N5が最も初歩的なレベルです。
【他の選択肢】A：3つではなく5つです。B：4つは旧試験の級数で、2010年改定前の制度です。D：6つではありません。CEFRは6段階（A1〜C2）ですが、JLPTは5段階です。</t>
        </is>
      </c>
      <c r="K43" s="2" t="inlineStr">
        <is>
          <t>教程3</t>
        </is>
      </c>
    </row>
    <row r="44" ht="45" customHeight="1">
      <c r="A44" s="2" t="n">
        <v>43</v>
      </c>
      <c r="B44" s="2" t="inlineStr">
        <is>
          <t>★</t>
        </is>
      </c>
      <c r="C44" s="2" t="inlineStr">
        <is>
          <t>国際交流基金日本語基礎テストが判定するCEFRレベルはどれか。</t>
        </is>
      </c>
      <c r="D44" s="2" t="inlineStr">
        <is>
          <t>A1</t>
        </is>
      </c>
      <c r="E44" s="2" t="inlineStr">
        <is>
          <t>A2</t>
        </is>
      </c>
      <c r="F44" s="2" t="inlineStr">
        <is>
          <t>B1</t>
        </is>
      </c>
      <c r="G44" s="2" t="inlineStr">
        <is>
          <t>B2</t>
        </is>
      </c>
      <c r="H44" s="2" t="n"/>
      <c r="I44" s="3">
        <f>IF(H44="","",IF(H44="B","〇","×"))</f>
        <v/>
      </c>
      <c r="J44" s="4" t="inlineStr">
        <is>
          <t>国際交流基金日本語基礎テスト（JFT-Basic）はCEFRのA2レベル（基礎段階の上位）の日本語能力を判定するテストです。主に特定技能の在留資格取得のための日本語能力証明に使われています。
【他の選択肢】A：A1は最も初歩的なレベルで、JFT-Basicの判定レベルではありません。C：B1は自立した言語使用者のレベルで、JFT-Basicよりも上位です。D：B2はさらに上位のレベルです。</t>
        </is>
      </c>
      <c r="K44" s="2" t="inlineStr">
        <is>
          <t>教程3</t>
        </is>
      </c>
    </row>
    <row r="45" ht="45" customHeight="1">
      <c r="A45" s="5" t="n">
        <v>44</v>
      </c>
      <c r="B45" s="5" t="inlineStr">
        <is>
          <t>★★</t>
        </is>
      </c>
      <c r="C45" s="5" t="inlineStr">
        <is>
          <t>国際交流基金日本語基礎テストの実施方式は何か。</t>
        </is>
      </c>
      <c r="D45" s="5" t="inlineStr">
        <is>
          <t>ペーパーテスト</t>
        </is>
      </c>
      <c r="E45" s="5" t="inlineStr">
        <is>
          <t>インタビュー</t>
        </is>
      </c>
      <c r="F45" s="5" t="inlineStr">
        <is>
          <t>CBT方式</t>
        </is>
      </c>
      <c r="G45" s="5" t="inlineStr">
        <is>
          <t>記述式</t>
        </is>
      </c>
      <c r="H45" s="5" t="n"/>
      <c r="I45" s="6">
        <f>IF(H45="","",IF(H45="C","〇","×"))</f>
        <v/>
      </c>
      <c r="J45" s="7" t="inlineStr">
        <is>
          <t>国際交流基金日本語基礎テスト（JFT-Basic）はCBT（Computer Based Testing）方式で実施されます。テストセンターのコンピュータで受験し、結果がすぐに分かるのが特徴です。
【他の選択肢】A：ペーパーテスト（紙の試験）方式ではなく、コンピュータで受験します。D：記述式（自由記述）のテストではありません。B：インタビュー（面接）方式はOPI（Oral Proficiency Interview）の実施方式です。</t>
        </is>
      </c>
      <c r="K45" s="5" t="inlineStr">
        <is>
          <t>教程3</t>
        </is>
      </c>
    </row>
    <row r="46" ht="45" customHeight="1">
      <c r="A46" s="2" t="n">
        <v>45</v>
      </c>
      <c r="B46" s="2" t="inlineStr">
        <is>
          <t>★</t>
        </is>
      </c>
      <c r="C46" s="2" t="inlineStr">
        <is>
          <t>日本留学試験の実施機関はどこか。</t>
        </is>
      </c>
      <c r="D46" s="2" t="inlineStr">
        <is>
          <t>JEES</t>
        </is>
      </c>
      <c r="E46" s="2" t="inlineStr">
        <is>
          <t>国際交流基金</t>
        </is>
      </c>
      <c r="F46" s="2" t="inlineStr">
        <is>
          <t>JASSO</t>
        </is>
      </c>
      <c r="G46" s="2" t="inlineStr">
        <is>
          <t>国立国語研究所</t>
        </is>
      </c>
      <c r="H46" s="2" t="n"/>
      <c r="I46" s="3">
        <f>IF(H46="","",IF(H46="C","〇","×"))</f>
        <v/>
      </c>
      <c r="J46" s="4" t="inlineStr">
        <is>
          <t>日本留学試験（EJU）の実施機関はJASSO（日本学生支援機構）です。日本の大学等への入学希望者を対象に、日本語力と基礎学力を測定する試験で、年2回（6月・11月）実施されます。
【他の選択肢】A：JEES（日本国際教育支援協会）はJLPTの国内実施機関です。B：国際交流基金はJLPTの海外実施やJFT-Basicの運営を担当しています。D：国立国語研究所は日本語の研究機関で、試験実施は行っていません。</t>
        </is>
      </c>
      <c r="K46" s="2" t="inlineStr">
        <is>
          <t>教程3</t>
        </is>
      </c>
    </row>
    <row r="47" ht="45" customHeight="1">
      <c r="A47" s="5" t="n">
        <v>46</v>
      </c>
      <c r="B47" s="5" t="inlineStr">
        <is>
          <t>★★</t>
        </is>
      </c>
      <c r="C47" s="5" t="inlineStr">
        <is>
          <t>BJTの満点は何点か。</t>
        </is>
      </c>
      <c r="D47" s="5" t="inlineStr">
        <is>
          <t>400点</t>
        </is>
      </c>
      <c r="E47" s="5" t="inlineStr">
        <is>
          <t>600点</t>
        </is>
      </c>
      <c r="F47" s="5" t="inlineStr">
        <is>
          <t>800点</t>
        </is>
      </c>
      <c r="G47" s="5" t="inlineStr">
        <is>
          <t>1000点</t>
        </is>
      </c>
      <c r="H47" s="5" t="n"/>
      <c r="I47" s="6">
        <f>IF(H47="","",IF(H47="C","〇","×"))</f>
        <v/>
      </c>
      <c r="J47" s="7" t="inlineStr">
        <is>
          <t>BJT（ビジネス日本語能力テスト）の満点は800点です。ビジネス場面でのコミュニケーション能力を測定するテストで、CBT方式で実施されます。結果はJ1+〜J5の6段階で評価されます。
【他の選択肢】A：400点は満点ではありません。B：600点も満点ではありません。D：1000点はTOEICの満点（990点に近い数値）であり、BJTの満点ではありません。</t>
        </is>
      </c>
      <c r="K47" s="5" t="inlineStr">
        <is>
          <t>教程3</t>
        </is>
      </c>
    </row>
    <row r="48" ht="45" customHeight="1">
      <c r="A48" s="5" t="n">
        <v>47</v>
      </c>
      <c r="B48" s="5" t="inlineStr">
        <is>
          <t>★★</t>
        </is>
      </c>
      <c r="C48" s="5" t="inlineStr">
        <is>
          <t>OPIの主要レベルの数はいくつか。</t>
        </is>
      </c>
      <c r="D48" s="5" t="inlineStr">
        <is>
          <t>3つ</t>
        </is>
      </c>
      <c r="E48" s="5" t="inlineStr">
        <is>
          <t>4つ</t>
        </is>
      </c>
      <c r="F48" s="5" t="inlineStr">
        <is>
          <t>5つ</t>
        </is>
      </c>
      <c r="G48" s="5" t="inlineStr">
        <is>
          <t>6つ</t>
        </is>
      </c>
      <c r="H48" s="5" t="n"/>
      <c r="I48" s="6">
        <f>IF(H48="","",IF(H48="B","〇","×"))</f>
        <v/>
      </c>
      <c r="J48" s="7" t="inlineStr">
        <is>
          <t>OPI（Oral Proficiency Interview）の主要レベルは「初級（Novice）」「中級（Intermediate）」「上級（Advanced）」「超級（Superior）」の4つです。ACTFLが開発した口頭能力テストです。
【他の選択肢】A：3つではなく4つです。C：5つはJLPTのレベル数です。D：6つはCEFRのレベル数です。OPIは4つの主要レベルが特徴です。</t>
        </is>
      </c>
      <c r="K48" s="5" t="inlineStr">
        <is>
          <t>教程3</t>
        </is>
      </c>
    </row>
    <row r="49" ht="45" customHeight="1">
      <c r="A49" s="8" t="n">
        <v>48</v>
      </c>
      <c r="B49" s="8" t="inlineStr">
        <is>
          <t>★★★</t>
        </is>
      </c>
      <c r="C49" s="8" t="inlineStr">
        <is>
          <t>OPIで上限を決める質問方式を何と呼ぶか。</t>
        </is>
      </c>
      <c r="D49" s="8" t="inlineStr">
        <is>
          <t>プローブス（突き上げ）</t>
        </is>
      </c>
      <c r="E49" s="8" t="inlineStr">
        <is>
          <t>スキャフォールディング</t>
        </is>
      </c>
      <c r="F49" s="8" t="inlineStr">
        <is>
          <t>フィードバック</t>
        </is>
      </c>
      <c r="G49" s="8" t="inlineStr">
        <is>
          <t>エリシテーション</t>
        </is>
      </c>
      <c r="H49" s="8" t="n"/>
      <c r="I49" s="9">
        <f>IF(H49="","",IF(H49="A","〇","×"))</f>
        <v/>
      </c>
      <c r="J49" s="10" t="inlineStr">
        <is>
          <t>OPIで受験者の能力の上限を探る質問方式を「プローブス（突き上げ）」と呼びます。受験者がどのレベルまで対応できるかを確認するために、より難しい課題を与えていく手法です。
【他の選択肢】B：スキャフォールディング（足場かけ）は教育用語で、学習者の理解を支援するために段階的な支援を提供することです。C：フィードバックは学習者への評価・反応を返すことです。D：エリシテーション（誘出）は学習者から発話を引き出す技法です。</t>
        </is>
      </c>
      <c r="K49" s="8" t="inlineStr">
        <is>
          <t>教程3</t>
        </is>
      </c>
    </row>
    <row r="50" ht="45" customHeight="1">
      <c r="A50" s="8" t="n">
        <v>49</v>
      </c>
      <c r="B50" s="8" t="inlineStr">
        <is>
          <t>★★★</t>
        </is>
      </c>
      <c r="C50" s="8" t="inlineStr">
        <is>
          <t>BJT480点で高度人材ポイント制は何ポイント付与されるか。</t>
        </is>
      </c>
      <c r="D50" s="8" t="inlineStr">
        <is>
          <t>5</t>
        </is>
      </c>
      <c r="E50" s="8" t="inlineStr">
        <is>
          <t>10</t>
        </is>
      </c>
      <c r="F50" s="8" t="inlineStr">
        <is>
          <t>15</t>
        </is>
      </c>
      <c r="G50" s="8" t="inlineStr">
        <is>
          <t>20</t>
        </is>
      </c>
      <c r="H50" s="8" t="n"/>
      <c r="I50" s="9">
        <f>IF(H50="","",IF(H50="C","〇","×"))</f>
        <v/>
      </c>
      <c r="J50" s="10" t="inlineStr">
        <is>
          <t>BJT480点以上で高度人材ポイント制において15ポイントが付与されます。高度人材ポイント制は、高度外国人材の受入れ促進のため、学歴・職歴・年収・日本語能力等にポイントを付与し、合計70ポイント以上で優遇措置を受けられる制度です。
【他の選択肢】A：5ポイントではありません。B：10ポイントはJLPT N2合格の場合の付与ポイントです。D：20ポイントでもありません。BJT480点以上は15ポイントと正確に覚えましょう。</t>
        </is>
      </c>
      <c r="K50" s="8" t="inlineStr">
        <is>
          <t>教程3</t>
        </is>
      </c>
    </row>
    <row r="51" ht="45" customHeight="1">
      <c r="A51" s="5" t="n">
        <v>50</v>
      </c>
      <c r="B51" s="5" t="inlineStr">
        <is>
          <t>★★</t>
        </is>
      </c>
      <c r="C51" s="5" t="inlineStr">
        <is>
          <t>第三次朝鮮教育令（1938年）で朝鮮語はどうなったか。</t>
        </is>
      </c>
      <c r="D51" s="5" t="inlineStr">
        <is>
          <t>必修</t>
        </is>
      </c>
      <c r="E51" s="5" t="inlineStr">
        <is>
          <t>禁止</t>
        </is>
      </c>
      <c r="F51" s="5" t="inlineStr">
        <is>
          <t>随意科目（選択科目）</t>
        </is>
      </c>
      <c r="G51" s="5" t="inlineStr">
        <is>
          <t>廃止</t>
        </is>
      </c>
      <c r="H51" s="5" t="n"/>
      <c r="I51" s="6">
        <f>IF(H51="","",IF(H51="C","〇","×"))</f>
        <v/>
      </c>
      <c r="J51" s="7" t="inlineStr">
        <is>
          <t>1938年の第三次朝鮮教育令により、朝鮮語は「随意科目（選択科目）」に格下げされました。皇民化政策の一環として、日本語（国語）教育が一層強化される中での措置でした。その後、1941年には実質的に朝鮮語教育は廃止されました。
【他の選択肢】A：必修ではなく、随意科目（選択科目）に格下げされました。B：完全禁止という形ではなく、随意科目として一応残されました（ただし実質的に教えられなくなりました）。D：正式な「廃止」ではなく「随意科目」への変更です。</t>
        </is>
      </c>
      <c r="K51" s="5" t="inlineStr">
        <is>
          <t>教程3</t>
        </is>
      </c>
    </row>
    <row r="52" ht="45" customHeight="1">
      <c r="A52" s="2" t="n">
        <v>51</v>
      </c>
      <c r="B52" s="2" t="inlineStr">
        <is>
          <t>★</t>
        </is>
      </c>
      <c r="C52" s="2" t="inlineStr">
        <is>
          <t>地域差による言語変種を何と言うか。</t>
        </is>
      </c>
      <c r="D52" s="2" t="inlineStr">
        <is>
          <t>社会方言</t>
        </is>
      </c>
      <c r="E52" s="2" t="inlineStr">
        <is>
          <t>地域方言</t>
        </is>
      </c>
      <c r="F52" s="2" t="inlineStr">
        <is>
          <t>位相語</t>
        </is>
      </c>
      <c r="G52" s="2" t="inlineStr">
        <is>
          <t>役割語</t>
        </is>
      </c>
      <c r="H52" s="2" t="n"/>
      <c r="I52" s="3">
        <f>IF(H52="","",IF(H52="B","〇","×"))</f>
        <v/>
      </c>
      <c r="J52" s="4" t="inlineStr">
        <is>
          <t>地域差による言語変種を「地域方言」と言います。同じ言語でも地理的な要因により発音・語彙・文法に違いが生じるもので、東北方言、関西方言、九州方言などが代表例です。これに対し、社会的要因（年齢・性別・職業・階層）による変種を「社会方言」と言います。
【他の選択肢】A：社会方言は地域ではなく社会的要因（年齢・性別・職業・階層など）による言語変種です。C：位相語は社会的立場（性別・年齢・職業など）の違いによる言葉の違いで、社会方言と関連する概念です。D：役割語は特定の人物像（老人・お嬢様・博士など）と結びついた話し方のことで、金水敏が提唱しました。</t>
        </is>
      </c>
      <c r="K52" s="2" t="inlineStr">
        <is>
          <t>教程4</t>
        </is>
      </c>
    </row>
    <row r="53" ht="45" customHeight="1">
      <c r="A53" s="2" t="n">
        <v>52</v>
      </c>
      <c r="B53" s="2" t="inlineStr">
        <is>
          <t>★</t>
        </is>
      </c>
      <c r="C53" s="2" t="inlineStr">
        <is>
          <t>特定の言葉づかいから特定の人物像を思い浮かべられる言葉づかいを何と言うか。</t>
        </is>
      </c>
      <c r="D53" s="2" t="inlineStr">
        <is>
          <t>位相語</t>
        </is>
      </c>
      <c r="E53" s="2" t="inlineStr">
        <is>
          <t>地域方言</t>
        </is>
      </c>
      <c r="F53" s="2" t="inlineStr">
        <is>
          <t>役割語</t>
        </is>
      </c>
      <c r="G53" s="2" t="inlineStr">
        <is>
          <t>社会方言</t>
        </is>
      </c>
      <c r="H53" s="2" t="n"/>
      <c r="I53" s="3">
        <f>IF(H53="","",IF(H53="C","〇","×"))</f>
        <v/>
      </c>
      <c r="J53" s="4" t="inlineStr">
        <is>
          <t>「〜じゃ」と聞くと老人を思い浮かべたり、「〜ですわ」と聞くとお嬢様を想像したりする、特定の人物像と結びついた言葉づかいを「役割語」と言います。金水敏（きんすいさとし）が提唱した概念です。
【他の選択肢】A：位相語は社会的立場（性別・年齢・職業）による言語の違いで、役割語とは異なります。B：地域方言は地理的要因による変種です。D：社会方言は社会的要因全般による変種の総称です。</t>
        </is>
      </c>
      <c r="K53" s="2" t="inlineStr">
        <is>
          <t>教程4</t>
        </is>
      </c>
    </row>
    <row r="54" ht="45" customHeight="1">
      <c r="A54" s="2" t="n">
        <v>53</v>
      </c>
      <c r="B54" s="2" t="inlineStr">
        <is>
          <t>★</t>
        </is>
      </c>
      <c r="C54" s="2" t="inlineStr">
        <is>
          <t>ピジンの特徴として正しくないものはどれか。</t>
        </is>
      </c>
      <c r="D54" s="2" t="inlineStr">
        <is>
          <t>文法が単純</t>
        </is>
      </c>
      <c r="E54" s="2" t="inlineStr">
        <is>
          <t>語彙が少ない</t>
        </is>
      </c>
      <c r="F54" s="2" t="inlineStr">
        <is>
          <t>書き言葉を持たない</t>
        </is>
      </c>
      <c r="G54" s="2" t="inlineStr">
        <is>
          <t>豊富な語彙体系を持つ</t>
        </is>
      </c>
      <c r="H54" s="2" t="n"/>
      <c r="I54" s="3">
        <f>IF(H54="","",IF(H54="D","〇","×"))</f>
        <v/>
      </c>
      <c r="J54" s="4" t="inlineStr">
        <is>
          <t>ピジンとは、異なる言語を持つ人々が交易などの目的で接触した際に自然発生的に生まれた補助的な接触言語です。文法が単純、語彙が少ない、書き言葉を持たないなどの特徴があります。「豊富な語彙体系を持つ」はピジンの特徴ではありません。
【他の選択肢】A：文法が単純なのはピジンの特徴です。語形変化の簡略化、語順の固定化などが見られます。B：語彙が少ないのもピジンの特徴で、交易などの限定的な場面で使われるため語彙は最小限です。C：書き言葉を持たないのもピジンの特徴で、口頭でのみ使用されます。</t>
        </is>
      </c>
      <c r="K54" s="2" t="inlineStr">
        <is>
          <t>教程4</t>
        </is>
      </c>
    </row>
    <row r="55" ht="45" customHeight="1">
      <c r="A55" s="2" t="n">
        <v>54</v>
      </c>
      <c r="B55" s="2" t="inlineStr">
        <is>
          <t>★</t>
        </is>
      </c>
      <c r="C55" s="2" t="inlineStr">
        <is>
          <t>ピジンが世代間に受け継がれ共通言語となったものを何と言うか。</t>
        </is>
      </c>
      <c r="D55" s="2" t="inlineStr">
        <is>
          <t>リンガ・フランカ</t>
        </is>
      </c>
      <c r="E55" s="2" t="inlineStr">
        <is>
          <t>クレオール</t>
        </is>
      </c>
      <c r="F55" s="2" t="inlineStr">
        <is>
          <t>ダイグロシア</t>
        </is>
      </c>
      <c r="G55" s="2" t="inlineStr">
        <is>
          <t>コードスイッチング</t>
        </is>
      </c>
      <c r="H55" s="2" t="n"/>
      <c r="I55" s="3">
        <f>IF(H55="","",IF(H55="B","〇","×"))</f>
        <v/>
      </c>
      <c r="J55" s="4" t="inlineStr">
        <is>
          <t>ピジンが世代間に受け継がれ、子どもの母語（第一言語）として習得されるようになったものを「クレオール」と言います。クレオール化の過程で語彙が豊かになり文法も複雑化します。ハイチ・クレオール語などが代表例です。
【他の選択肢】A：リンガ・フランカは異なる言語を話す者同士が意思疎通のために使う共通語のことです（例：英語が国際的なリンガ・フランカ）。C：ダイグロシアは同一社会で二つの言語変種が機能別に使い分けられている状況です。D：コードスイッチングは会話の中で使用言語を切り替えることです。</t>
        </is>
      </c>
      <c r="K55" s="2" t="inlineStr">
        <is>
          <t>教程4</t>
        </is>
      </c>
    </row>
    <row r="56" ht="45" customHeight="1">
      <c r="A56" s="2" t="n">
        <v>55</v>
      </c>
      <c r="B56" s="2" t="inlineStr">
        <is>
          <t>★</t>
        </is>
      </c>
      <c r="C56" s="2" t="inlineStr">
        <is>
          <t>二つの言語変種が状況により使い分けられている社会状況を何と言うか。</t>
        </is>
      </c>
      <c r="D56" s="2" t="inlineStr">
        <is>
          <t>バイリンガリズム</t>
        </is>
      </c>
      <c r="E56" s="2" t="inlineStr">
        <is>
          <t>ダイグロシア</t>
        </is>
      </c>
      <c r="F56" s="2" t="inlineStr">
        <is>
          <t>ポリグロシア</t>
        </is>
      </c>
      <c r="G56" s="2" t="inlineStr">
        <is>
          <t>コードスイッチング</t>
        </is>
      </c>
      <c r="H56" s="2" t="n"/>
      <c r="I56" s="3">
        <f>IF(H56="","",IF(H56="B","〇","×"))</f>
        <v/>
      </c>
      <c r="J56" s="4" t="inlineStr">
        <is>
          <t>ダイグロシアとは、一つの社会で二つの言語変種が場面や機能によって使い分けられている状況を指します。ファーガソン（1959年）が提唱した概念で、H変種（高位変種：公的場面）とL変種（低位変種：日常会話）に分けられます。
【他の選択肢】A：バイリンガリズムは個人が二つの言語を使用できる状態で、社会的な使い分けを指すダイグロシアとは異なります。C：ポリグロシアは三つ以上の言語変種が使い分けられる状況です。D：コードスイッチングは個人が会話中に言語を切り替えることで、社会的な言語状況を指す用語ではありません。</t>
        </is>
      </c>
      <c r="K56" s="2" t="inlineStr">
        <is>
          <t>教程4</t>
        </is>
      </c>
    </row>
    <row r="57" ht="45" customHeight="1">
      <c r="A57" s="2" t="n">
        <v>56</v>
      </c>
      <c r="B57" s="2" t="inlineStr">
        <is>
          <t>★</t>
        </is>
      </c>
      <c r="C57" s="2" t="inlineStr">
        <is>
          <t>教師が学習者に対して使用する言語変種を何と言うか。</t>
        </is>
      </c>
      <c r="D57" s="2" t="inlineStr">
        <is>
          <t>フォリナートーク</t>
        </is>
      </c>
      <c r="E57" s="2" t="inlineStr">
        <is>
          <t>ティーチャートーク</t>
        </is>
      </c>
      <c r="F57" s="2" t="inlineStr">
        <is>
          <t>ベビートーク</t>
        </is>
      </c>
      <c r="G57" s="2" t="inlineStr">
        <is>
          <t>スタイルシフト</t>
        </is>
      </c>
      <c r="H57" s="2" t="n"/>
      <c r="I57" s="3">
        <f>IF(H57="","",IF(H57="B","〇","×"))</f>
        <v/>
      </c>
      <c r="J57" s="4" t="inlineStr">
        <is>
          <t>教師が学習者に対して使用する、ゆっくり・はっきり・簡潔に話す言語変種を「ティーチャートーク」と言います。語彙の制限、短い文、繰り返し、言い換えなどの特徴があります。
【他の選択肢】A：フォリナートークは教師ではなく一般の母語話者が非母語話者に対して使う簡略化された話し方です。C：ベビートークは大人が乳幼児に対して使う話し方で、高い声、繰り返し、簡単な語彙などの特徴があります。D：スタイルシフトは場面や相手に応じて文体（話し方のスタイル）を切り替えることです。</t>
        </is>
      </c>
      <c r="K57" s="2" t="inlineStr">
        <is>
          <t>教程4</t>
        </is>
      </c>
    </row>
    <row r="58" ht="45" customHeight="1">
      <c r="A58" s="2" t="n">
        <v>57</v>
      </c>
      <c r="B58" s="2" t="inlineStr">
        <is>
          <t>★</t>
        </is>
      </c>
      <c r="C58" s="2" t="inlineStr">
        <is>
          <t>異なった言語を話す者同士が意思疎通のために使う言語を何と言うか。</t>
        </is>
      </c>
      <c r="D58" s="2" t="inlineStr">
        <is>
          <t>ピジン</t>
        </is>
      </c>
      <c r="E58" s="2" t="inlineStr">
        <is>
          <t>クレオール</t>
        </is>
      </c>
      <c r="F58" s="2" t="inlineStr">
        <is>
          <t>リンガ・フランカ</t>
        </is>
      </c>
      <c r="G58" s="2" t="inlineStr">
        <is>
          <t>母語</t>
        </is>
      </c>
      <c r="H58" s="2" t="n"/>
      <c r="I58" s="3">
        <f>IF(H58="","",IF(H58="C","〇","×"))</f>
        <v/>
      </c>
      <c r="J58" s="4" t="inlineStr">
        <is>
          <t>異なった言語を話す者同士が意思疎通のために使う共通語を「リンガ・フランカ」と言います。歴史的にはアラビア語やラテン語、現代では英語が国際的なリンガ・フランカとして機能しています。
【他の選択肢】A：ピジンは異なる言語の接触で自然発生した単純化された補助言語で、特定の場面（交易など）に限られます。リンガ・フランカはより広い概念です。B：クレオールはピジンが母語化したもので、特定の共同体の母語です。D：母語は個人が最初に習得した言語（第一言語）です。</t>
        </is>
      </c>
      <c r="K58" s="2" t="inlineStr">
        <is>
          <t>教程4</t>
        </is>
      </c>
    </row>
    <row r="59" ht="45" customHeight="1">
      <c r="A59" s="5" t="n">
        <v>58</v>
      </c>
      <c r="B59" s="5" t="inlineStr">
        <is>
          <t>★★</t>
        </is>
      </c>
      <c r="C59" s="5" t="inlineStr">
        <is>
          <t>場面や相手に応じて文体を切り替えることを何と言うか。</t>
        </is>
      </c>
      <c r="D59" s="5" t="inlineStr">
        <is>
          <t>コードスイッチング</t>
        </is>
      </c>
      <c r="E59" s="5" t="inlineStr">
        <is>
          <t>スタイルシフト</t>
        </is>
      </c>
      <c r="F59" s="5" t="inlineStr">
        <is>
          <t>フォリナートーク</t>
        </is>
      </c>
      <c r="G59" s="5" t="inlineStr">
        <is>
          <t>ダイグロシア</t>
        </is>
      </c>
      <c r="H59" s="5" t="n"/>
      <c r="I59" s="6">
        <f>IF(H59="","",IF(H59="B","〇","×"))</f>
        <v/>
      </c>
      <c r="J59" s="7" t="inlineStr">
        <is>
          <t>場面や相手に応じて文体（フォーマル/カジュアルなど）を切り替えることを「スタイルシフト」と言います。同じ言語内での話し方の切り替えで、「コードスイッチング」（言語そのものの切り替え）とは区別されます。
【他の選択肢】A：コードスイッチングは文体の切り替えではなく、言語そのもの（例：日本語から英語）を切り替えることです。C：フォリナートークは母語話者が非母語話者に対して使う話し方の調整で、文体の切り替えとは異なります。D：ダイグロシアは社会レベルでの二言語変種の使い分けで、個人の文体切り替えとは異なります。</t>
        </is>
      </c>
      <c r="K59" s="5" t="inlineStr">
        <is>
          <t>教程4</t>
        </is>
      </c>
    </row>
    <row r="60" ht="45" customHeight="1">
      <c r="A60" s="5" t="n">
        <v>59</v>
      </c>
      <c r="B60" s="5" t="inlineStr">
        <is>
          <t>★★</t>
        </is>
      </c>
      <c r="C60" s="5" t="inlineStr">
        <is>
          <t>一つの会話の中で使用言語を切り替えることを何と言うか。</t>
        </is>
      </c>
      <c r="D60" s="5" t="inlineStr">
        <is>
          <t>スタイルシフト</t>
        </is>
      </c>
      <c r="E60" s="5" t="inlineStr">
        <is>
          <t>コードスイッチング</t>
        </is>
      </c>
      <c r="F60" s="5" t="inlineStr">
        <is>
          <t>ティーチャートーク</t>
        </is>
      </c>
      <c r="G60" s="5" t="inlineStr">
        <is>
          <t>クレオール化</t>
        </is>
      </c>
      <c r="H60" s="5" t="n"/>
      <c r="I60" s="6">
        <f>IF(H60="","",IF(H60="B","〇","×"))</f>
        <v/>
      </c>
      <c r="J60" s="7" t="inlineStr">
        <is>
          <t>一つの会話の中で使用言語を切り替えること（例：日本語で話している途中で英語に切り替える）を「コードスイッチング」と言います。バイリンガルやマルチリンガルの人に見られる現象です。
【他の選択肢】A：スタイルシフトは同一言語内での文体（フォーマル/カジュアル）の切り替えで、言語そのものの切り替えではありません。C：ティーチャートークは教師が学習者向けに調整した話し方です。D：クレオール化はピジンが母語化する過程で、会話中の切り替えとは異なります。</t>
        </is>
      </c>
      <c r="K60" s="5" t="inlineStr">
        <is>
          <t>教程4</t>
        </is>
      </c>
    </row>
    <row r="61" ht="45" customHeight="1">
      <c r="A61" s="2" t="n">
        <v>60</v>
      </c>
      <c r="B61" s="2" t="inlineStr">
        <is>
          <t>★</t>
        </is>
      </c>
      <c r="C61" s="2" t="inlineStr">
        <is>
          <t>親から子へ受け継ぐ言語を何と言うか。</t>
        </is>
      </c>
      <c r="D61" s="2" t="inlineStr">
        <is>
          <t>母語</t>
        </is>
      </c>
      <c r="E61" s="2" t="inlineStr">
        <is>
          <t>継承語</t>
        </is>
      </c>
      <c r="F61" s="2" t="inlineStr">
        <is>
          <t>公用語</t>
        </is>
      </c>
      <c r="G61" s="2" t="inlineStr">
        <is>
          <t>共通語</t>
        </is>
      </c>
      <c r="H61" s="2" t="n"/>
      <c r="I61" s="3">
        <f>IF(H61="","",IF(H61="B","〇","×"))</f>
        <v/>
      </c>
      <c r="J61" s="4" t="inlineStr">
        <is>
          <t>親から子へ家庭内で受け継がれる言語を「継承語」と言います。移民家庭の子どもが家庭で親の言語を使いながら、学校では現地の言語を学ぶような状況で重要な概念です。
【他の選択肢】A：母語は個人が最初に習得した言語（第一言語）を指し、必ずしも親から受け継いだ言語とは限りません。C：公用語は国家が公式に定めた言語です。D：共通語は異なる言語を持つ人々の間で使われる共通の言語です。</t>
        </is>
      </c>
      <c r="K61" s="2" t="inlineStr">
        <is>
          <t>教程4</t>
        </is>
      </c>
    </row>
    <row r="62" ht="45" customHeight="1">
      <c r="A62" s="5" t="n">
        <v>61</v>
      </c>
      <c r="B62" s="5" t="inlineStr">
        <is>
          <t>★★</t>
        </is>
      </c>
      <c r="C62" s="5" t="inlineStr">
        <is>
          <t>学校の教科内容を第二言語で指導するバイリンガル教育を何と言うか。</t>
        </is>
      </c>
      <c r="D62" s="5" t="inlineStr">
        <is>
          <t>維持型バイリンガル教育</t>
        </is>
      </c>
      <c r="E62" s="5" t="inlineStr">
        <is>
          <t>イマージョン・プログラム</t>
        </is>
      </c>
      <c r="F62" s="5" t="inlineStr">
        <is>
          <t>取り出し授業</t>
        </is>
      </c>
      <c r="G62" s="5" t="inlineStr">
        <is>
          <t>LOTE教育</t>
        </is>
      </c>
      <c r="H62" s="5" t="n"/>
      <c r="I62" s="6">
        <f>IF(H62="","",IF(H62="B","〇","×"))</f>
        <v/>
      </c>
      <c r="J62" s="7" t="inlineStr">
        <is>
          <t>学校の教科内容を第二言語で指導するバイリンガル教育を「イマージョン・プログラム」と言います。カナダのフランス語イマージョン教育（1965年〜）が有名で、「浸す（immerse）」という語に由来します。
【他の選択肢】A：維持型バイリンガル教育は少数言語を母語とする子どもの言語能力を維持・発展させることを目的とした教育で、文化的アイデンティティの保持を重視します。C：取り出し授業は通常の授業から児童を別室に連れ出して個別に日本語指導を行う方法です。D：LOTE教育はオーストラリアの英語以外の言語教育で、イマージョンとは異なる枠組みです。</t>
        </is>
      </c>
      <c r="K62" s="5" t="inlineStr">
        <is>
          <t>教程4</t>
        </is>
      </c>
    </row>
    <row r="63" ht="45" customHeight="1">
      <c r="A63" s="2" t="n">
        <v>62</v>
      </c>
      <c r="B63" s="2" t="inlineStr">
        <is>
          <t>★</t>
        </is>
      </c>
      <c r="C63" s="2" t="inlineStr">
        <is>
          <t>別室で日本語指導を行うことを何と言うか。</t>
        </is>
      </c>
      <c r="D63" s="2" t="inlineStr">
        <is>
          <t>入り込み授業</t>
        </is>
      </c>
      <c r="E63" s="2" t="inlineStr">
        <is>
          <t>取り出し授業</t>
        </is>
      </c>
      <c r="F63" s="2" t="inlineStr">
        <is>
          <t>拠点校方式</t>
        </is>
      </c>
      <c r="G63" s="2" t="inlineStr">
        <is>
          <t>センター校方式</t>
        </is>
      </c>
      <c r="H63" s="2" t="n"/>
      <c r="I63" s="3">
        <f>IF(H63="","",IF(H63="B","〇","×"))</f>
        <v/>
      </c>
      <c r="J63" s="4" t="inlineStr">
        <is>
          <t>通常の授業から児童を別室に連れ出して個別に日本語指導を行う方式を「取り出し授業」と言います。学習者のレベルに合わせた個別指導が可能ですが、通常授業の内容を逃してしまうデメリットもあります。
【他の選択肢】A：入り込み授業は児童を別室に連れ出さず、通常の教室内で支援員が学習をサポートする方式です。C：拠点校方式は日本語指導体制が整った特定の学校に児童を集中在籍させる方式です。D：センター校方式は特定の学校の日本語教室に、他校の児童が定期的に通う方式です。</t>
        </is>
      </c>
      <c r="K63" s="2" t="inlineStr">
        <is>
          <t>教程4</t>
        </is>
      </c>
    </row>
    <row r="64" ht="45" customHeight="1">
      <c r="A64" s="2" t="n">
        <v>63</v>
      </c>
      <c r="B64" s="2" t="inlineStr">
        <is>
          <t>★</t>
        </is>
      </c>
      <c r="C64" s="2" t="inlineStr">
        <is>
          <t>授業中に支援員が教室内で児童をサポートする方式を何と言うか。</t>
        </is>
      </c>
      <c r="D64" s="2" t="inlineStr">
        <is>
          <t>取り出し授業</t>
        </is>
      </c>
      <c r="E64" s="2" t="inlineStr">
        <is>
          <t>入り込み授業</t>
        </is>
      </c>
      <c r="F64" s="2" t="inlineStr">
        <is>
          <t>拠点校方式</t>
        </is>
      </c>
      <c r="G64" s="2" t="inlineStr">
        <is>
          <t>センター校方式</t>
        </is>
      </c>
      <c r="H64" s="2" t="n"/>
      <c r="I64" s="3">
        <f>IF(H64="","",IF(H64="B","〇","×"))</f>
        <v/>
      </c>
      <c r="J64" s="4" t="inlineStr">
        <is>
          <t>授業中に支援員が教室内で児童をサポートする方式を「入り込み授業」と言います。通常の授業に参加しながら支援を受けられるため、クラスメートとの関係を維持できるメリットがあります。
【他の選択肢】A：取り出し授業は別室に連れ出して指導する方式で、入り込み授業とは場所が異なります。C：拠点校方式は学校単位の体制の話で、授業内の支援方法ではありません。D：センター校方式も学校間の連携体制であり、授業内の支援方式ではありません。</t>
        </is>
      </c>
      <c r="K64" s="2" t="inlineStr">
        <is>
          <t>教程4</t>
        </is>
      </c>
    </row>
    <row r="65" ht="45" customHeight="1">
      <c r="A65" s="5" t="n">
        <v>64</v>
      </c>
      <c r="B65" s="5" t="inlineStr">
        <is>
          <t>★★</t>
        </is>
      </c>
      <c r="C65" s="5" t="inlineStr">
        <is>
          <t>京都を中心に同心円状に方言が広がるパターンを何と言うか。</t>
        </is>
      </c>
      <c r="D65" s="5" t="inlineStr">
        <is>
          <t>東西分布型</t>
        </is>
      </c>
      <c r="E65" s="5" t="inlineStr">
        <is>
          <t>周圏分布型</t>
        </is>
      </c>
      <c r="F65" s="5" t="inlineStr">
        <is>
          <t>複雑分布型</t>
        </is>
      </c>
      <c r="G65" s="5" t="inlineStr">
        <is>
          <t>放射分布型</t>
        </is>
      </c>
      <c r="H65" s="5" t="n"/>
      <c r="I65" s="6">
        <f>IF(H65="","",IF(H65="B","〇","×"))</f>
        <v/>
      </c>
      <c r="J65" s="7" t="inlineStr">
        <is>
          <t>京都（かつての都）を中心として同心円状に古い言葉が残っているパターンを「周圏分布型」と言います。柳田國男が『蝸牛考』で提唱した「方言周圏論」に基づく分布型です。
【他の選択肢】A：東西分布型は日本列島を東西に分けた際に語形が異なるパターン（例：東の「おたまじゃくし」と西の「がえるご」）です。C：複雑分布型は規則的な分布パターンが見られないものです。D：放射分布型という用語は方言学では一般的に使われません。</t>
        </is>
      </c>
      <c r="K65" s="5" t="inlineStr">
        <is>
          <t>教程4</t>
        </is>
      </c>
    </row>
    <row r="66" ht="45" customHeight="1">
      <c r="A66" s="5" t="n">
        <v>65</v>
      </c>
      <c r="B66" s="5" t="inlineStr">
        <is>
          <t>★★</t>
        </is>
      </c>
      <c r="C66" s="5" t="inlineStr">
        <is>
          <t>人が本来持っている力を活性化させることを何と言うか。</t>
        </is>
      </c>
      <c r="D66" s="5" t="inlineStr">
        <is>
          <t>エンパワーメント</t>
        </is>
      </c>
      <c r="E66" s="5" t="inlineStr">
        <is>
          <t>アコモデーション</t>
        </is>
      </c>
      <c r="F66" s="5" t="inlineStr">
        <is>
          <t>アカルチュレーション</t>
        </is>
      </c>
      <c r="G66" s="5" t="inlineStr">
        <is>
          <t>スキャフォールディング</t>
        </is>
      </c>
      <c r="H66" s="5" t="n"/>
      <c r="I66" s="6">
        <f>IF(H66="","",IF(H66="A","〇","×"))</f>
        <v/>
      </c>
      <c r="J66" s="7" t="inlineStr">
        <is>
          <t>人が本来持っている力を活性化させ、自律的に行動できるよう支援することを「エンパワーメント」と言います。社会的に不利な立場にある人々の力を引き出す概念で、日本語教育や多文化共生の文脈でも重要です。
【他の選択肢】B：アコモデーションはジャイルズが提唱した理論で、相手に合わせて言語行動を調整することです。C：アカルチュレーション（文化変容）は異なる文化が接触した際に一方または双方の文化が変化するプロセスです。D：スキャフォールディング（足場かけ）は学習者が自力でできない課題に対して、教師が段階的に支援を行う教育手法です。</t>
        </is>
      </c>
      <c r="K66" s="5" t="inlineStr">
        <is>
          <t>教程4</t>
        </is>
      </c>
    </row>
    <row r="67" ht="45" customHeight="1">
      <c r="A67" s="5" t="n">
        <v>66</v>
      </c>
      <c r="B67" s="5" t="inlineStr">
        <is>
          <t>★★</t>
        </is>
      </c>
      <c r="C67" s="5" t="inlineStr">
        <is>
          <t>ダイグロシアの例として挙げられている国はどれか。</t>
        </is>
      </c>
      <c r="D67" s="5" t="inlineStr">
        <is>
          <t>アメリカ</t>
        </is>
      </c>
      <c r="E67" s="5" t="inlineStr">
        <is>
          <t>シンガポール</t>
        </is>
      </c>
      <c r="F67" s="5" t="inlineStr">
        <is>
          <t>フランス</t>
        </is>
      </c>
      <c r="G67" s="5" t="inlineStr">
        <is>
          <t>韓国</t>
        </is>
      </c>
      <c r="H67" s="5" t="n"/>
      <c r="I67" s="6">
        <f>IF(H67="","",IF(H67="B","〇","×"))</f>
        <v/>
      </c>
      <c r="J67" s="7" t="inlineStr">
        <is>
          <t>ダイグロシアの例として挙げられる国の一つがシンガポールです。シンガポールでは公用語（英語・中国語・マレー語・タミル語）があり、公的場面では英語が使用され、家庭や日常ではそれぞれの母語が使われるという使い分けが見られます。
【他の選択肢】A：アメリカは英語が事実上の共通語として使われており、典型的なダイグロシアの例としては挙げられません。C：フランスはフランス語が圧倒的に優位で、ダイグロシアの典型例ではありません。D：韓国は韓国語（朝鮮語）がほぼ唯一の使用言語で、ダイグロシアの例ではありません。</t>
        </is>
      </c>
      <c r="K67" s="5" t="inlineStr">
        <is>
          <t>教程4</t>
        </is>
      </c>
    </row>
    <row r="68" ht="45" customHeight="1">
      <c r="A68" s="2" t="n">
        <v>67</v>
      </c>
      <c r="B68" s="2" t="inlineStr">
        <is>
          <t>★</t>
        </is>
      </c>
      <c r="C68" s="2" t="inlineStr">
        <is>
          <t>JFスタンダードが育成する能力は課題遂行能力ともう一つは何か。</t>
        </is>
      </c>
      <c r="D68" s="2" t="inlineStr">
        <is>
          <t>文法能力</t>
        </is>
      </c>
      <c r="E68" s="2" t="inlineStr">
        <is>
          <t>異文化理解能力</t>
        </is>
      </c>
      <c r="F68" s="2" t="inlineStr">
        <is>
          <t>読解能力</t>
        </is>
      </c>
      <c r="G68" s="2" t="inlineStr">
        <is>
          <t>翻訳能力</t>
        </is>
      </c>
      <c r="H68" s="2" t="n"/>
      <c r="I68" s="3">
        <f>IF(H68="","",IF(H68="B","〇","×"))</f>
        <v/>
      </c>
      <c r="J68" s="4" t="inlineStr">
        <is>
          <t>JFスタンダード（JF日本語教育スタンダード）が育成を目指す能力は「課題遂行能力」と「異文化理解能力」の2つです。CEFRの理念に基づき、言語を使って課題を達成する力と、異なる文化を理解・尊重する力の両方を重視しています。
【他の選択肢】A：文法能力は言語能力の一部ですが、JFスタンダードが育成する主要能力としては挙げられていません。C：読解能力は言語技能の一つですが、JFスタンダードの2本柱ではありません。D：翻訳能力はJFスタンダードの育成目標には含まれていません。</t>
        </is>
      </c>
      <c r="K68" s="2" t="inlineStr">
        <is>
          <t>教程5</t>
        </is>
      </c>
    </row>
    <row r="69" ht="45" customHeight="1">
      <c r="A69" s="2" t="n">
        <v>68</v>
      </c>
      <c r="B69" s="2" t="inlineStr">
        <is>
          <t>★</t>
        </is>
      </c>
      <c r="C69" s="2" t="inlineStr">
        <is>
          <t>JFスタンダードはどの枠組みに基づいて開発されたか。</t>
        </is>
      </c>
      <c r="D69" s="2" t="inlineStr">
        <is>
          <t>TOEFL</t>
        </is>
      </c>
      <c r="E69" s="2" t="inlineStr">
        <is>
          <t>CEFR</t>
        </is>
      </c>
      <c r="F69" s="2" t="inlineStr">
        <is>
          <t>ACTFL</t>
        </is>
      </c>
      <c r="G69" s="2" t="inlineStr">
        <is>
          <t>IELTS</t>
        </is>
      </c>
      <c r="H69" s="2" t="n"/>
      <c r="I69" s="3">
        <f>IF(H69="","",IF(H69="B","〇","×"))</f>
        <v/>
      </c>
      <c r="J69" s="4" t="inlineStr">
        <is>
          <t>JFスタンダードはCEFR（ヨーロッパ言語共通参照枠）に基づいて開発されました。CEFRの6段階のレベル設定やCan-doの考え方を日本語教育に応用したものです。
【他の選択肢】A：TOEFLはアメリカのETS（Educational Testing Service）が開発した英語能力テストで、JFスタンダードの基盤ではありません。C：ACTFLは全米外国語教育協会で、OPIなどのテスト開発を行っていますが、JFスタンダードの基盤はCEFRです。D：IELTSはイギリス発の英語能力テストです。</t>
        </is>
      </c>
      <c r="K69" s="2" t="inlineStr">
        <is>
          <t>教程5</t>
        </is>
      </c>
    </row>
    <row r="70" ht="45" customHeight="1">
      <c r="A70" s="5" t="n">
        <v>69</v>
      </c>
      <c r="B70" s="5" t="inlineStr">
        <is>
          <t>★★</t>
        </is>
      </c>
      <c r="C70" s="5" t="inlineStr">
        <is>
          <t>JFスタンダードの木の枝に含まれる3項目はどれか。</t>
        </is>
      </c>
      <c r="D70" s="5" t="inlineStr">
        <is>
          <t>聞く・話す・書く</t>
        </is>
      </c>
      <c r="E70" s="5" t="inlineStr">
        <is>
          <t>受容・産出・やりとり</t>
        </is>
      </c>
      <c r="F70" s="5" t="inlineStr">
        <is>
          <t>文法・語彙・発音</t>
        </is>
      </c>
      <c r="G70" s="5" t="inlineStr">
        <is>
          <t>読解・聴解・記述</t>
        </is>
      </c>
      <c r="H70" s="5" t="n"/>
      <c r="I70" s="6">
        <f>IF(H70="","",IF(H70="B","〇","×"))</f>
        <v/>
      </c>
      <c r="J70" s="7" t="inlineStr">
        <is>
          <t>JFスタンダードの木の「枝」にあたる3項目は「受容」「産出」「やりとり」です。言語活動を「聞く・読む（受容）」「話す・書く（産出）」「会話・文通（やりとり）」の3つに分類しています。
【他の選択肢】A：「聞く・話す・書く」は言語技能の一部ですが、JFスタンダードの木の枝の分類とは異なります。C：「文法・語彙・発音」は木の「根」にあたる言語能力（言語構造的能力）の下位要素です。D：「読解・聴解・記述」は試験の科目名であり、JFスタンダードの木の分類ではありません。</t>
        </is>
      </c>
      <c r="K70" s="5" t="inlineStr">
        <is>
          <t>教程5</t>
        </is>
      </c>
    </row>
    <row r="71" ht="45" customHeight="1">
      <c r="A71" s="5" t="n">
        <v>70</v>
      </c>
      <c r="B71" s="5" t="inlineStr">
        <is>
          <t>★★</t>
        </is>
      </c>
      <c r="C71" s="5" t="inlineStr">
        <is>
          <t>CEFRのB1・B2は何と呼ばれるか。</t>
        </is>
      </c>
      <c r="D71" s="5" t="inlineStr">
        <is>
          <t>基礎段階の言語使用者</t>
        </is>
      </c>
      <c r="E71" s="5" t="inlineStr">
        <is>
          <t>自立した言語使用者</t>
        </is>
      </c>
      <c r="F71" s="5" t="inlineStr">
        <is>
          <t>熟達した言語使用者</t>
        </is>
      </c>
      <c r="G71" s="5" t="inlineStr">
        <is>
          <t>初級言語使用者</t>
        </is>
      </c>
      <c r="H71" s="5" t="n"/>
      <c r="I71" s="6">
        <f>IF(H71="","",IF(H71="B","〇","×"))</f>
        <v/>
      </c>
      <c r="J71" s="7" t="inlineStr">
        <is>
          <t>CEFRのB1・B2は「自立した言語使用者（Independent User）」と呼ばれます。日常的な場面で自力でコミュニケーションが取れるレベルです。A1・A2が「基礎段階」、C1・C2が「熟達した言語使用者」です。
【他の選択肢】A：「基礎段階の言語使用者（Basic User）」はA1・A2のレベルです。C：「熟達した言語使用者（Proficient User）」はC1・C2のレベルです。D：「初級言語使用者」という名称はCEFRでは使われていません。</t>
        </is>
      </c>
      <c r="K71" s="5" t="inlineStr">
        <is>
          <t>教程5</t>
        </is>
      </c>
    </row>
    <row r="72" ht="45" customHeight="1">
      <c r="A72" s="5" t="n">
        <v>71</v>
      </c>
      <c r="B72" s="5" t="inlineStr">
        <is>
          <t>★★</t>
        </is>
      </c>
      <c r="C72" s="5" t="inlineStr">
        <is>
          <t>シャノン＆ウィーバーのコミュニケーションモデルの特徴はどれか。</t>
        </is>
      </c>
      <c r="D72" s="5" t="inlineStr">
        <is>
          <t>相互的で意味を共同構築する</t>
        </is>
      </c>
      <c r="E72" s="5" t="inlineStr">
        <is>
          <t>直線的で送り手から受け手に伝達する</t>
        </is>
      </c>
      <c r="F72" s="5" t="inlineStr">
        <is>
          <t>非言語を重視する</t>
        </is>
      </c>
      <c r="G72" s="5" t="inlineStr">
        <is>
          <t>文化的文脈を重視する</t>
        </is>
      </c>
      <c r="H72" s="5" t="n"/>
      <c r="I72" s="6">
        <f>IF(H72="","",IF(H72="B","〇","×"))</f>
        <v/>
      </c>
      <c r="J72" s="7" t="inlineStr">
        <is>
          <t>シャノン＆ウィーバーのコミュニケーションモデル（1949年）は、送り手がメッセージを符号化し、チャネル（伝達経路）を通じて受け手が復号化するという直線的な伝達モデルです。電信・電話の通信工学から生まれました。
【他の選択肢】A：「相互的で意味を共同構築する」は構成主義（社会構成主義）のコミュニケーションモデルの特徴です。C：非言語コミュニケーションはシャノン＆ウィーバーのモデルの主な関心ではありません。D：文化的文脈の重視は異文化コミュニケーション研究の視点であり、このモデルの特徴ではありません。</t>
        </is>
      </c>
      <c r="K72" s="5" t="inlineStr">
        <is>
          <t>教程5</t>
        </is>
      </c>
    </row>
    <row r="73" ht="45" customHeight="1">
      <c r="A73" s="5" t="n">
        <v>72</v>
      </c>
      <c r="B73" s="5" t="inlineStr">
        <is>
          <t>★★</t>
        </is>
      </c>
      <c r="C73" s="5" t="inlineStr">
        <is>
          <t>コミュニケーション能力（コミュニカティブ・コンピテンス）を提唱した学者は誰か。</t>
        </is>
      </c>
      <c r="D73" s="5" t="inlineStr">
        <is>
          <t>チョムスキー</t>
        </is>
      </c>
      <c r="E73" s="5" t="inlineStr">
        <is>
          <t>ハイムズ</t>
        </is>
      </c>
      <c r="F73" s="5" t="inlineStr">
        <is>
          <t>カナル</t>
        </is>
      </c>
      <c r="G73" s="5" t="inlineStr">
        <is>
          <t>タローン</t>
        </is>
      </c>
      <c r="H73" s="5" t="n"/>
      <c r="I73" s="6">
        <f>IF(H73="","",IF(H73="B","〇","×"))</f>
        <v/>
      </c>
      <c r="J73" s="7" t="inlineStr">
        <is>
          <t>コミュニケーション能力（コミュニカティブ・コンピテンス）の概念を提唱したのはハイムズ（Dell Hymes, 1972年）です。チョムスキーの「言語能力」に対し、実際の社会的場面でのコミュニケーション能力の重要性を主張しました。
【他の選択肢】A：チョムスキーは「言語能力（linguistic competence）」の概念を提唱した人物で、理想的な話者・聞き手の抽象的な言語知識を扱いました。C：カナル（Canale）はハイムズの概念を発展させ、伝達能力を4つの構成要素に分類しました。D：タローン（Tarone）はコミュニケーション・ストラテジーの分類を行った研究者です。</t>
        </is>
      </c>
      <c r="K73" s="5" t="inlineStr">
        <is>
          <t>教程5</t>
        </is>
      </c>
    </row>
    <row r="74" ht="45" customHeight="1">
      <c r="A74" s="5" t="n">
        <v>73</v>
      </c>
      <c r="B74" s="5" t="inlineStr">
        <is>
          <t>★★</t>
        </is>
      </c>
      <c r="C74" s="5" t="inlineStr">
        <is>
          <t>カナルの伝達能力の4構成要素に含まれないものはどれか。</t>
        </is>
      </c>
      <c r="D74" s="5" t="inlineStr">
        <is>
          <t>文法能力</t>
        </is>
      </c>
      <c r="E74" s="5" t="inlineStr">
        <is>
          <t>社会言語学的能力</t>
        </is>
      </c>
      <c r="F74" s="5" t="inlineStr">
        <is>
          <t>ストラテジー能力</t>
        </is>
      </c>
      <c r="G74" s="5" t="inlineStr">
        <is>
          <t>翻訳能力</t>
        </is>
      </c>
      <c r="H74" s="5" t="n"/>
      <c r="I74" s="6">
        <f>IF(H74="","",IF(H74="D","〇","×"))</f>
        <v/>
      </c>
      <c r="J74" s="7" t="inlineStr">
        <is>
          <t>カナル（Canale）の伝達能力の4構成要素は「文法能力・社会言語学的能力・談話能力・ストラテジー能力」です。翻訳能力はこの4構成要素には含まれていません。
【他の選択肢】A：文法能力は4構成要素の一つで、語彙・音韻・形態・統語の規則に関する知識です。B：社会言語学的能力も4構成要素の一つで、社会的ルール（丁寧さ、敬語の使い分けなど）に関する能力です。C：ストラテジー能力も4構成要素の一つで、言い換え・回避・援助要求などの方略を使う能力です。</t>
        </is>
      </c>
      <c r="K74" s="5" t="inlineStr">
        <is>
          <t>教程5</t>
        </is>
      </c>
    </row>
    <row r="75" ht="45" customHeight="1">
      <c r="A75" s="5" t="n">
        <v>74</v>
      </c>
      <c r="B75" s="5" t="inlineStr">
        <is>
          <t>★★</t>
        </is>
      </c>
      <c r="C75" s="5" t="inlineStr">
        <is>
          <t>タローンのストラテジー分類に含まれないものはどれか。</t>
        </is>
      </c>
      <c r="D75" s="5" t="inlineStr">
        <is>
          <t>回避</t>
        </is>
      </c>
      <c r="E75" s="5" t="inlineStr">
        <is>
          <t>言い換え</t>
        </is>
      </c>
      <c r="F75" s="5" t="inlineStr">
        <is>
          <t>文法分析</t>
        </is>
      </c>
      <c r="G75" s="5" t="inlineStr">
        <is>
          <t>援助要求</t>
        </is>
      </c>
      <c r="H75" s="5" t="n"/>
      <c r="I75" s="6">
        <f>IF(H75="","",IF(H75="C","〇","×"))</f>
        <v/>
      </c>
      <c r="J75" s="7" t="inlineStr">
        <is>
          <t>タローン（Tarone）のコミュニケーション・ストラテジー分類には「回避（avoidance）」「言い換え（paraphrase）」「意識的転移」「援助要求」「ジェスチャー」などが含まれますが、「文法分析」は含まれません。
【他の選択肢】A：回避はタローンの分類に含まれ、話題回避（難しい話題を避ける）やメッセージの中断（途中であきらめる）があります。B：言い換えも含まれ、近似表現・造語・迂言（説明的に言い換え）などがあります。D：援助要求も含まれ、「〜は何と言いますか」と相手に助けを求める方略です。</t>
        </is>
      </c>
      <c r="K75" s="5" t="inlineStr">
        <is>
          <t>教程5</t>
        </is>
      </c>
    </row>
    <row r="76" ht="45" customHeight="1">
      <c r="A76" s="5" t="n">
        <v>75</v>
      </c>
      <c r="B76" s="5" t="inlineStr">
        <is>
          <t>★★</t>
        </is>
      </c>
      <c r="C76" s="5" t="inlineStr">
        <is>
          <t>高コンテクスト・コミュニケーションの特徴はどれか。</t>
        </is>
      </c>
      <c r="D76" s="5" t="inlineStr">
        <is>
          <t>情報をできるだけ言語化する</t>
        </is>
      </c>
      <c r="E76" s="5" t="inlineStr">
        <is>
          <t>言語による情報依存度が低い</t>
        </is>
      </c>
      <c r="F76" s="5" t="inlineStr">
        <is>
          <t>既知知識が少ない</t>
        </is>
      </c>
      <c r="G76" s="5" t="inlineStr">
        <is>
          <t>すべてを言語化する</t>
        </is>
      </c>
      <c r="H76" s="5" t="n"/>
      <c r="I76" s="6">
        <f>IF(H76="","",IF(H76="B","〇","×"))</f>
        <v/>
      </c>
      <c r="J76" s="7" t="inlineStr">
        <is>
          <t>高コンテクスト・コミュニケーションは、言語による情報依存度が低く、共有知識や非言語情報に多くを頼るコミュニケーションスタイルです。エドワード・ホールが提唱した概念で、日本はアメリカなどに比べて高コンテクスト文化とされます。
【他の選択肢】A：「情報をできるだけ言語化する」のは低コンテクスト・コミュニケーションの特徴です。C：「既知知識が少ない」場合は低コンテクストになります。D：「すべてを言語化する」のも低コンテクストの特徴で、ドイツやアメリカの文化に近いとされます。</t>
        </is>
      </c>
      <c r="K76" s="5" t="inlineStr">
        <is>
          <t>教程5</t>
        </is>
      </c>
    </row>
    <row r="77" ht="45" customHeight="1">
      <c r="A77" s="5" t="n">
        <v>76</v>
      </c>
      <c r="B77" s="5" t="inlineStr">
        <is>
          <t>★★</t>
        </is>
      </c>
      <c r="C77" s="5" t="inlineStr">
        <is>
          <t>「相手や場面に応じた適切な表現力」はカナルの何に該当するか。</t>
        </is>
      </c>
      <c r="D77" s="5" t="inlineStr">
        <is>
          <t>文法能力</t>
        </is>
      </c>
      <c r="E77" s="5" t="inlineStr">
        <is>
          <t>社会言語学的能力</t>
        </is>
      </c>
      <c r="F77" s="5" t="inlineStr">
        <is>
          <t>ストラテジー能力</t>
        </is>
      </c>
      <c r="G77" s="5" t="inlineStr">
        <is>
          <t>談話能力</t>
        </is>
      </c>
      <c r="H77" s="5" t="n"/>
      <c r="I77" s="6">
        <f>IF(H77="","",IF(H77="B","〇","×"))</f>
        <v/>
      </c>
      <c r="J77" s="7" t="inlineStr">
        <is>
          <t>「相手や場面に応じた適切な表現力」はカナルの伝達能力4構成要素のうち「社会言語学的能力」に該当します。敬語の使い分け、丁寧さのレベル調整、場面に応じた表現選択などが含まれます。
【他の選択肢】A：文法能力は語彙・形態・統語・音韻のルールに基づいて正確な文を作る能力で、「適切さ」よりも「正確さ」に関わります。C：ストラテジー能力はコミュニケーション上の問題を解決する方略（言い換え・回避・援助要求など）を使う能力です。D：談話能力は文と文をつないで一貫性のある談話を構築する能力で、接続詞の使用や文章構成力などに関わります。</t>
        </is>
      </c>
      <c r="K77" s="5" t="inlineStr">
        <is>
          <t>教程5</t>
        </is>
      </c>
    </row>
    <row r="78" ht="45" customHeight="1">
      <c r="A78" s="2" t="n">
        <v>77</v>
      </c>
      <c r="B78" s="2" t="inlineStr">
        <is>
          <t>★</t>
        </is>
      </c>
      <c r="C78" s="2" t="inlineStr">
        <is>
          <t>「日本語教育の参照枠」は日本語能力を何レベルで示しているか。</t>
        </is>
      </c>
      <c r="D78" s="2" t="inlineStr">
        <is>
          <t>4</t>
        </is>
      </c>
      <c r="E78" s="2" t="inlineStr">
        <is>
          <t>5</t>
        </is>
      </c>
      <c r="F78" s="2" t="inlineStr">
        <is>
          <t>6</t>
        </is>
      </c>
      <c r="G78" s="2" t="inlineStr">
        <is>
          <t>7</t>
        </is>
      </c>
      <c r="H78" s="2" t="n"/>
      <c r="I78" s="3">
        <f>IF(H78="","",IF(H78="C","〇","×"))</f>
        <v/>
      </c>
      <c r="J78" s="4" t="inlineStr">
        <is>
          <t>「日本語教育の参照枠」はCEFRに準拠し、日本語能力をA1・A2・B1・B2・C1・C2の6レベルで示しています。2021年に文化審議会が報告書として取りまとめました。
【他の選択肢】A：4レベルは旧JLPTの級数（1〜4級）です。B：5レベルは現行JLPTのレベル数（N1〜N5）です。D：7レベルという枠組みはありません。参照枠はCEFRと同じ6段階です。</t>
        </is>
      </c>
      <c r="K78" s="2" t="inlineStr">
        <is>
          <t>教程5</t>
        </is>
      </c>
    </row>
    <row r="79" ht="45" customHeight="1">
      <c r="A79" s="5" t="n">
        <v>78</v>
      </c>
      <c r="B79" s="5" t="inlineStr">
        <is>
          <t>★★</t>
        </is>
      </c>
      <c r="C79" s="5" t="inlineStr">
        <is>
          <t>JF生活日本語Can-doの主な対象者はどのような外国人か。</t>
        </is>
      </c>
      <c r="D79" s="5" t="inlineStr">
        <is>
          <t>留学生</t>
        </is>
      </c>
      <c r="E79" s="5" t="inlineStr">
        <is>
          <t>特定技能等で来日する外国人</t>
        </is>
      </c>
      <c r="F79" s="5" t="inlineStr">
        <is>
          <t>日本語教師志望者</t>
        </is>
      </c>
      <c r="G79" s="5" t="inlineStr">
        <is>
          <t>観光客</t>
        </is>
      </c>
      <c r="H79" s="5" t="n"/>
      <c r="I79" s="6">
        <f>IF(H79="","",IF(H79="B","〇","×"))</f>
        <v/>
      </c>
      <c r="J79" s="7" t="inlineStr">
        <is>
          <t>JF生活日本語Can-doは、主に特定技能等の在留資格で来日する外国人を対象としています。日本で生活するために必要な日本語能力をCan-do形式（〜ができる）で示したもので、生活場面に特化しています。
【他の選択肢】A：留学生は主にEJUやJLPTの枠組みで日本語能力が評価され、JF生活日本語Can-doの主な対象ではありません。C：日本語教師志望者は日本語教育能力検定試験や教師養成課程が対象です。D：観光客は短期滞在であり、生活日本語の主な対象ではありません。</t>
        </is>
      </c>
      <c r="K79" s="5" t="inlineStr">
        <is>
          <t>教程5</t>
        </is>
      </c>
    </row>
    <row r="80" ht="45" customHeight="1">
      <c r="A80" s="2" t="n">
        <v>79</v>
      </c>
      <c r="B80" s="2" t="inlineStr">
        <is>
          <t>★</t>
        </is>
      </c>
      <c r="C80" s="2" t="inlineStr">
        <is>
          <t>自らが望む言語を自由に使用できる権利を何と言うか。</t>
        </is>
      </c>
      <c r="D80" s="2" t="inlineStr">
        <is>
          <t>言語保障</t>
        </is>
      </c>
      <c r="E80" s="2" t="inlineStr">
        <is>
          <t>言語権</t>
        </is>
      </c>
      <c r="F80" s="2" t="inlineStr">
        <is>
          <t>言語サービス</t>
        </is>
      </c>
      <c r="G80" s="2" t="inlineStr">
        <is>
          <t>言語政策</t>
        </is>
      </c>
      <c r="H80" s="2" t="n"/>
      <c r="I80" s="3">
        <f>IF(H80="","",IF(H80="B","〇","×"))</f>
        <v/>
      </c>
      <c r="J80" s="4" t="inlineStr">
        <is>
          <t>自らが望む言語を自由に使用できる権利を「言語権」と言います。少数言語話者が母語を使う権利、移民が公的サービスを理解可能な言語で受ける権利などが含まれます。言語権は基本的人権の一つとして国際的に認識されています。
【他の選択肢】A：言語保障は言語権を実際に保障するための制度的・社会的な仕組みのことで、権利そのものではなく、権利を実現するための取り組みです。C：言語サービスは通訳・翻訳など具体的な言語的支援を指し、権利の概念とは異なります。D：言語政策は国家が言語に関して行う政策全般を指します。</t>
        </is>
      </c>
      <c r="K80" s="2" t="inlineStr">
        <is>
          <t>教程6</t>
        </is>
      </c>
    </row>
    <row r="81" ht="45" customHeight="1">
      <c r="A81" s="2" t="n">
        <v>80</v>
      </c>
      <c r="B81" s="2" t="inlineStr">
        <is>
          <t>★</t>
        </is>
      </c>
      <c r="C81" s="2" t="inlineStr">
        <is>
          <t>外国人集住都市会議の第1回会議が開催された都市はどこか。</t>
        </is>
      </c>
      <c r="D81" s="2" t="inlineStr">
        <is>
          <t>東京</t>
        </is>
      </c>
      <c r="E81" s="2" t="inlineStr">
        <is>
          <t>名古屋</t>
        </is>
      </c>
      <c r="F81" s="2" t="inlineStr">
        <is>
          <t>浜松市</t>
        </is>
      </c>
      <c r="G81" s="2" t="inlineStr">
        <is>
          <t>大阪</t>
        </is>
      </c>
      <c r="H81" s="2" t="n"/>
      <c r="I81" s="3">
        <f>IF(H81="","",IF(H81="C","〇","×"))</f>
        <v/>
      </c>
      <c r="J81" s="4" t="inlineStr">
        <is>
          <t>外国人集住都市会議の第1回会議は2001年に浜松市で開催されました。日系ブラジル人をはじめとする外国人住民が集中する自治体が連携し、多文化共生の課題に取り組むための会議です。
【他の選択肢】A：東京は外国人集住都市会議の開催地ではありません。B：名古屋も開催地ではありません。D：大阪も開催地ではありません。浜松市が選ばれたのは、日系人が多く集住する代表的な都市だったためです。</t>
        </is>
      </c>
      <c r="K81" s="2" t="inlineStr">
        <is>
          <t>教程6</t>
        </is>
      </c>
    </row>
    <row r="82" ht="45" customHeight="1">
      <c r="A82" s="8" t="n">
        <v>81</v>
      </c>
      <c r="B82" s="8" t="inlineStr">
        <is>
          <t>★★★</t>
        </is>
      </c>
      <c r="C82" s="8" t="inlineStr">
        <is>
          <t>外国人集住都市会議の会員都市（2023年）に含まれないのはどれか。</t>
        </is>
      </c>
      <c r="D82" s="8" t="inlineStr">
        <is>
          <t>大泉町</t>
        </is>
      </c>
      <c r="E82" s="8" t="inlineStr">
        <is>
          <t>豊橋市</t>
        </is>
      </c>
      <c r="F82" s="8" t="inlineStr">
        <is>
          <t>横浜市</t>
        </is>
      </c>
      <c r="G82" s="8" t="inlineStr">
        <is>
          <t>浜松市</t>
        </is>
      </c>
      <c r="H82" s="8" t="n"/>
      <c r="I82" s="9">
        <f>IF(H82="","",IF(H82="C","〇","×"))</f>
        <v/>
      </c>
      <c r="J82" s="10" t="inlineStr">
        <is>
          <t>外国人集住都市会議の会員都市（2023年時点）には大泉町・豊橋市・浜松市などが含まれますが、横浜市は含まれていません。横浜市は大都市ですが、外国人が「集住」する特性を持つ都市とは区別されます。
【他の選択肢】A：大泉町（群馬県）はSUBARUの工場があり、日系ブラジル人の比率が非常に高い代表的な集住都市です。B：豊橋市（愛知県）も自動車関連産業で外国人労働者が多い会員都市です。D：浜松市は第1回会議の開催地であり、設立時からの中核的な会員都市です。</t>
        </is>
      </c>
      <c r="K82" s="8" t="inlineStr">
        <is>
          <t>教程6</t>
        </is>
      </c>
    </row>
    <row r="83" ht="45" customHeight="1">
      <c r="A83" s="2" t="n">
        <v>82</v>
      </c>
      <c r="B83" s="2" t="inlineStr">
        <is>
          <t>★</t>
        </is>
      </c>
      <c r="C83" s="2" t="inlineStr">
        <is>
          <t>やさしい日本語の取組のきっかけとなった災害は何か。</t>
        </is>
      </c>
      <c r="D83" s="2" t="inlineStr">
        <is>
          <t>東日本大震災</t>
        </is>
      </c>
      <c r="E83" s="2" t="inlineStr">
        <is>
          <t>新潟県中越地震</t>
        </is>
      </c>
      <c r="F83" s="2" t="inlineStr">
        <is>
          <t>阪神・淡路大震災</t>
        </is>
      </c>
      <c r="G83" s="2" t="inlineStr">
        <is>
          <t>熊本地震</t>
        </is>
      </c>
      <c r="H83" s="2" t="n"/>
      <c r="I83" s="3">
        <f>IF(H83="","",IF(H83="C","〇","×"))</f>
        <v/>
      </c>
      <c r="J83" s="4" t="inlineStr">
        <is>
          <t>やさしい日本語の取組のきっかけは1995年の阪神・淡路大震災です。災害時に外国人住民が日本語の情報を理解できず避難が遅れたことから、弘前大学の佐藤和之教授らが「やさしい日本語」の研究を始めました。
【他の選択肢】A：東日本大震災（2011年）はやさしい日本語の活用が広がるきっかけにはなりましたが、取組自体の発端は阪神・淡路大震災です。B：新潟県中越地震（2004年）もやさしい日本語の普及に寄与しましたが、きっかけではありません。D：熊本地震（2016年）もきっかけではありません。</t>
        </is>
      </c>
      <c r="K83" s="2" t="inlineStr">
        <is>
          <t>教程6</t>
        </is>
      </c>
    </row>
    <row r="84" ht="45" customHeight="1">
      <c r="A84" s="5" t="n">
        <v>83</v>
      </c>
      <c r="B84" s="5" t="inlineStr">
        <is>
          <t>★★</t>
        </is>
      </c>
      <c r="C84" s="5" t="inlineStr">
        <is>
          <t>「やさしい日本語ガイドライン」を作成した機関はどこか。</t>
        </is>
      </c>
      <c r="D84" s="5" t="inlineStr">
        <is>
          <t>文部科学省と国際交流基金</t>
        </is>
      </c>
      <c r="E84" s="5" t="inlineStr">
        <is>
          <t>出入国在留管理庁と文化庁</t>
        </is>
      </c>
      <c r="F84" s="5" t="inlineStr">
        <is>
          <t>法務省と外務省</t>
        </is>
      </c>
      <c r="G84" s="5" t="inlineStr">
        <is>
          <t>総務省と厚生労働省</t>
        </is>
      </c>
      <c r="H84" s="5" t="n"/>
      <c r="I84" s="6">
        <f>IF(H84="","",IF(H84="B","〇","×"))</f>
        <v/>
      </c>
      <c r="J84" s="7" t="inlineStr">
        <is>
          <t>「やさしい日本語ガイドライン」は出入国在留管理庁と文化庁が共同で作成しました。行政文書や公的情報をやさしい日本語で書き換える際の指針を示しています。
【他の選択肢】A：文部科学省と国際交流基金の共同ではありません。C：法務省と外務省の共同でもありません。D：総務省と厚生労働省の共同でもありません。出入国在留管理庁（法務省の外局）と文化庁の共同作成が正しい組み合わせです。</t>
        </is>
      </c>
      <c r="K84" s="5" t="inlineStr">
        <is>
          <t>教程6</t>
        </is>
      </c>
    </row>
    <row r="85" ht="45" customHeight="1">
      <c r="A85" s="5" t="n">
        <v>84</v>
      </c>
      <c r="B85" s="5" t="inlineStr">
        <is>
          <t>★★</t>
        </is>
      </c>
      <c r="C85" s="5" t="inlineStr">
        <is>
          <t>高度人材ポイント制とは何か。</t>
        </is>
      </c>
      <c r="D85" s="5" t="inlineStr">
        <is>
          <t>JLPT制度</t>
        </is>
      </c>
      <c r="E85" s="5" t="inlineStr">
        <is>
          <t>高度外国人材への出入国管理上の優遇措置</t>
        </is>
      </c>
      <c r="F85" s="5" t="inlineStr">
        <is>
          <t>奨学金制度</t>
        </is>
      </c>
      <c r="G85" s="5" t="inlineStr">
        <is>
          <t>技能実習生の評価</t>
        </is>
      </c>
      <c r="H85" s="5" t="n"/>
      <c r="I85" s="6">
        <f>IF(H85="","",IF(H85="B","〇","×"))</f>
        <v/>
      </c>
      <c r="J85" s="7" t="inlineStr">
        <is>
          <t>高度人材ポイント制とは、学歴・職歴・年収・日本語能力などの項目にポイントを付与し、合計70ポイント以上の外国人を「高度外国人材」として出入国管理上の優遇措置を与える制度です。2012年に導入されました。
【他の選択肢】A：JLPTは日本語能力試験の制度で、高度人材ポイント制とは別の制度です（ただしJLPT N1合格は15ポイントの加点対象）。C：奨学金制度は学生支援の制度で、出入国管理の優遇措置ではありません。D：技能実習生の評価は技能実習制度の枠組みで行われ、高度人材ポイント制とは異なります。</t>
        </is>
      </c>
      <c r="K85" s="5" t="inlineStr">
        <is>
          <t>教程6</t>
        </is>
      </c>
    </row>
    <row r="86" ht="45" customHeight="1">
      <c r="A86" s="5" t="n">
        <v>85</v>
      </c>
      <c r="B86" s="5" t="inlineStr">
        <is>
          <t>★★</t>
        </is>
      </c>
      <c r="C86" s="5" t="inlineStr">
        <is>
          <t>技能実習制度が発足したのは何年か。</t>
        </is>
      </c>
      <c r="D86" s="5" t="inlineStr">
        <is>
          <t>1990年</t>
        </is>
      </c>
      <c r="E86" s="5" t="inlineStr">
        <is>
          <t>1993年</t>
        </is>
      </c>
      <c r="F86" s="5" t="inlineStr">
        <is>
          <t>2008年</t>
        </is>
      </c>
      <c r="G86" s="5" t="inlineStr">
        <is>
          <t>2017年</t>
        </is>
      </c>
      <c r="H86" s="5" t="n"/>
      <c r="I86" s="6">
        <f>IF(H86="","",IF(H86="B","〇","×"))</f>
        <v/>
      </c>
      <c r="J86" s="7" t="inlineStr">
        <is>
          <t>技能実習制度は1993年に発足しました。発展途上国への技術移転を目的とした制度ですが、実態として労働力確保の手段として利用される問題が指摘されてきました。2024年の法改正で「育成就労制度」への移行が決まりました。
【他の選択肢】A：1990年は改正入管法が施行され、日系人に「定住者」の在留資格が付与された年です。C：2008年は在留資格「技能実習」が新設された年（2010年施行）です。D：2017年は「外国人技能実習適正化法（技能実習法）」が施行された年です。</t>
        </is>
      </c>
      <c r="K86" s="5" t="inlineStr">
        <is>
          <t>教程6</t>
        </is>
      </c>
    </row>
    <row r="87" ht="45" customHeight="1">
      <c r="A87" s="2" t="n">
        <v>86</v>
      </c>
      <c r="B87" s="2" t="inlineStr">
        <is>
          <t>★</t>
        </is>
      </c>
      <c r="C87" s="2" t="inlineStr">
        <is>
          <t>技能実習制度に代わる新制度の名称は何か。</t>
        </is>
      </c>
      <c r="D87" s="2" t="inlineStr">
        <is>
          <t>特定技能制度</t>
        </is>
      </c>
      <c r="E87" s="2" t="inlineStr">
        <is>
          <t>育成就労制度</t>
        </is>
      </c>
      <c r="F87" s="2" t="inlineStr">
        <is>
          <t>高度人材制度</t>
        </is>
      </c>
      <c r="G87" s="2" t="inlineStr">
        <is>
          <t>研修生制度</t>
        </is>
      </c>
      <c r="H87" s="2" t="n"/>
      <c r="I87" s="3">
        <f>IF(H87="","",IF(H87="B","〇","×"))</f>
        <v/>
      </c>
      <c r="J87" s="4" t="inlineStr">
        <is>
          <t>技能実習制度に代わる新制度は「育成就労制度」です。2024年の法改正で決定し、技能実習の「国際貢献」という建前から、「人材育成と人材確保」を正面から目的に掲げた制度に転換しました。
【他の選択肢】A：特定技能制度は2019年に創設された在留資格制度で、育成就労制度とは別の制度です（育成就労からの移行先として位置づけられています）。C：高度人材制度はポイント制による高度外国人材の受入れ制度です。D：研修生制度は技能実習制度の前身にあたる制度です。</t>
        </is>
      </c>
      <c r="K87" s="2" t="inlineStr">
        <is>
          <t>教程6</t>
        </is>
      </c>
    </row>
    <row r="88" ht="45" customHeight="1">
      <c r="A88" s="5" t="n">
        <v>87</v>
      </c>
      <c r="B88" s="5" t="inlineStr">
        <is>
          <t>★★</t>
        </is>
      </c>
      <c r="C88" s="5" t="inlineStr">
        <is>
          <t>EPAによる看護師・介護福祉士候補者の受入れが最初に開始された国はどこか。</t>
        </is>
      </c>
      <c r="D88" s="5" t="inlineStr">
        <is>
          <t>フィリピン</t>
        </is>
      </c>
      <c r="E88" s="5" t="inlineStr">
        <is>
          <t>ベトナム</t>
        </is>
      </c>
      <c r="F88" s="5" t="inlineStr">
        <is>
          <t>インドネシア</t>
        </is>
      </c>
      <c r="G88" s="5" t="inlineStr">
        <is>
          <t>タイ</t>
        </is>
      </c>
      <c r="H88" s="5" t="n"/>
      <c r="I88" s="6">
        <f>IF(H88="","",IF(H88="C","〇","×"))</f>
        <v/>
      </c>
      <c r="J88" s="7" t="inlineStr">
        <is>
          <t>EPA（経済連携協定）による看護師・介護福祉士候補者の受入れが最初に開始されたのはインドネシアからで、2008年のことです。その後、フィリピン（2009年）、ベトナム（2014年）と続きました。
【他の選択肢】A：フィリピンからの受入れ開始は2009年で、インドネシアの翌年です。B：ベトナムからの受入れ開始は2014年で、3番目です。D：タイとの間ではEPAに基づく看護師・介護福祉士候補者の受入れは行われていません。</t>
        </is>
      </c>
      <c r="K88" s="5" t="inlineStr">
        <is>
          <t>教程6</t>
        </is>
      </c>
    </row>
    <row r="89" ht="45" customHeight="1">
      <c r="A89" s="5" t="n">
        <v>88</v>
      </c>
      <c r="B89" s="5" t="inlineStr">
        <is>
          <t>★★</t>
        </is>
      </c>
      <c r="C89" s="5" t="inlineStr">
        <is>
          <t>留学生10万人計画が提示されたのは何年か。</t>
        </is>
      </c>
      <c r="D89" s="5" t="inlineStr">
        <is>
          <t>1975年</t>
        </is>
      </c>
      <c r="E89" s="5" t="inlineStr">
        <is>
          <t>1983年</t>
        </is>
      </c>
      <c r="F89" s="5" t="inlineStr">
        <is>
          <t>1993年</t>
        </is>
      </c>
      <c r="G89" s="5" t="inlineStr">
        <is>
          <t>2003年</t>
        </is>
      </c>
      <c r="H89" s="5" t="n"/>
      <c r="I89" s="6">
        <f>IF(H89="","",IF(H89="B","〇","×"))</f>
        <v/>
      </c>
      <c r="J89" s="7" t="inlineStr">
        <is>
          <t>留学生10万人計画は1983年に中曽根康弘首相（当時）のもとで提示されました。21世紀初頭までに留学生を10万人に増やすことを目標とし、2003年に目標を達成しました。
【他の選択肢】A：1975年はベトナム戦争終結の年で、留学生計画とは関係ありません。C：1993年は技能実習制度が発足した年です。D：2003年は留学生10万人計画の目標が達成された年であり、計画が提示された年ではありません。</t>
        </is>
      </c>
      <c r="K89" s="5" t="inlineStr">
        <is>
          <t>教程6</t>
        </is>
      </c>
    </row>
    <row r="90" ht="45" customHeight="1">
      <c r="A90" s="2" t="n">
        <v>89</v>
      </c>
      <c r="B90" s="2" t="inlineStr">
        <is>
          <t>★</t>
        </is>
      </c>
      <c r="C90" s="2" t="inlineStr">
        <is>
          <t>外国人散在地域の特徴として正しいものはどれか。</t>
        </is>
      </c>
      <c r="D90" s="2" t="inlineStr">
        <is>
          <t>外国人が多く集住</t>
        </is>
      </c>
      <c r="E90" s="2" t="inlineStr">
        <is>
          <t>言語サービスが充実</t>
        </is>
      </c>
      <c r="F90" s="2" t="inlineStr">
        <is>
          <t>外国人が少なくサポートが受けにくい</t>
        </is>
      </c>
      <c r="G90" s="2" t="inlineStr">
        <is>
          <t>日本語教室が多数</t>
        </is>
      </c>
      <c r="H90" s="2" t="n"/>
      <c r="I90" s="3">
        <f>IF(H90="","",IF(H90="C","〇","×"))</f>
        <v/>
      </c>
      <c r="J90" s="4" t="inlineStr">
        <is>
          <t>外国人散在地域とは、外国人住民が少なく分散して居住している地域のことです。日本語教室や通訳サービスなどの支援体制が整いにくく、外国人がサポートを受けにくいという課題があります。
【他の選択肢】A：「外国人が多く集住」しているのは集住地域の特徴であり、散在地域とは逆です。B：「言語サービスが充実」しているのも集住地域の方が当てはまります。D：「日本語教室が多数」あるのも集住地域の特徴で、散在地域では教室自体が少ないのが課題です。</t>
        </is>
      </c>
      <c r="K90" s="2" t="inlineStr">
        <is>
          <t>教程6</t>
        </is>
      </c>
    </row>
    <row r="91" ht="45" customHeight="1">
      <c r="A91" s="5" t="n">
        <v>90</v>
      </c>
      <c r="B91" s="5" t="inlineStr">
        <is>
          <t>★★</t>
        </is>
      </c>
      <c r="C91" s="5" t="inlineStr">
        <is>
          <t>言語計画の3段階の正しい順序はどれか。</t>
        </is>
      </c>
      <c r="D91" s="5" t="inlineStr">
        <is>
          <t>普及→席次→実体</t>
        </is>
      </c>
      <c r="E91" s="5" t="inlineStr">
        <is>
          <t>席次→実体→普及</t>
        </is>
      </c>
      <c r="F91" s="5" t="inlineStr">
        <is>
          <t>実体→席次→普及</t>
        </is>
      </c>
      <c r="G91" s="5" t="inlineStr">
        <is>
          <t>席次→普及→実体</t>
        </is>
      </c>
      <c r="H91" s="5" t="n"/>
      <c r="I91" s="6">
        <f>IF(H91="","",IF(H91="B","〇","×"))</f>
        <v/>
      </c>
      <c r="J91" s="7" t="inlineStr">
        <is>
          <t>言語計画の3段階は「席次計画（status planning）→実体計画（corpus planning）→普及計画（acquisition planning）」の順です。まず言語の地位を決め、次に標準化・文字体系の整備を行い、最後に教育を通じて普及させます。
【他の選択肢】A：「普及→席次→実体」は順序が誤りです。普及は最後の段階です。C：「実体→席次→普及」も順序が誤りで、席次計画が最初に来ます。D：「席次→普及→実体」は実体と普及の順序が逆です。まず地位を決め、言語を整備し、それから普及させるという順序が正しいです。</t>
        </is>
      </c>
      <c r="K91" s="5" t="inlineStr">
        <is>
          <t>教程7</t>
        </is>
      </c>
    </row>
    <row r="92" ht="45" customHeight="1">
      <c r="A92" s="2" t="n">
        <v>91</v>
      </c>
      <c r="B92" s="2" t="inlineStr">
        <is>
          <t>★</t>
        </is>
      </c>
      <c r="C92" s="2" t="inlineStr">
        <is>
          <t>カナダの公用語は何と何か。</t>
        </is>
      </c>
      <c r="D92" s="2" t="inlineStr">
        <is>
          <t>英語とスペイン語</t>
        </is>
      </c>
      <c r="E92" s="2" t="inlineStr">
        <is>
          <t>英語とフランス語</t>
        </is>
      </c>
      <c r="F92" s="2" t="inlineStr">
        <is>
          <t>英語のみ</t>
        </is>
      </c>
      <c r="G92" s="2" t="inlineStr">
        <is>
          <t>フランス語のみ</t>
        </is>
      </c>
      <c r="H92" s="2" t="n"/>
      <c r="I92" s="3">
        <f>IF(H92="","",IF(H92="B","〇","×"))</f>
        <v/>
      </c>
      <c r="J92" s="4" t="inlineStr">
        <is>
          <t>カナダの公用語は英語とフランス語です。1969年の公用語法により両言語が連邦レベルの公用語とされています。特にケベック州ではフランス語が優勢で、連邦政府は二言語主義を推進しています。
【他の選択肢】A：英語とスペイン語が公用語なのはアメリカの一部の州や中南米の国々です（ただしアメリカには連邦レベルの公用語はありません）。C：英語のみではなく、フランス語も公用語です。D：フランス語のみでもありません。</t>
        </is>
      </c>
      <c r="K92" s="2" t="inlineStr">
        <is>
          <t>教程7</t>
        </is>
      </c>
    </row>
    <row r="93" ht="45" customHeight="1">
      <c r="A93" s="2" t="n">
        <v>92</v>
      </c>
      <c r="B93" s="2" t="inlineStr">
        <is>
          <t>★</t>
        </is>
      </c>
      <c r="C93" s="2" t="inlineStr">
        <is>
          <t>オーストラリアが1970年代まで取っていた政策は何か。</t>
        </is>
      </c>
      <c r="D93" s="2" t="inlineStr">
        <is>
          <t>多文化主義</t>
        </is>
      </c>
      <c r="E93" s="2" t="inlineStr">
        <is>
          <t>白豪主義</t>
        </is>
      </c>
      <c r="F93" s="2" t="inlineStr">
        <is>
          <t>複言語主義</t>
        </is>
      </c>
      <c r="G93" s="2" t="inlineStr">
        <is>
          <t>同化主義</t>
        </is>
      </c>
      <c r="H93" s="2" t="n"/>
      <c r="I93" s="3">
        <f>IF(H93="","",IF(H93="B","〇","×"))</f>
        <v/>
      </c>
      <c r="J93" s="4" t="inlineStr">
        <is>
          <t>オーストラリアは1970年代まで「白豪主義（White Australia Policy）」を取っていました。非白人の移民を制限する政策でしたが、1970年代に撤廃され、多文化主義政策に転換しました。
【他の選択肢】A：多文化主義は白豪主義撤廃後の1970年代以降に採用された政策です。C：複言語主義は主にEU/CEFRの文脈で使われる個人レベルの多言語使用の考え方です。D：同化主義は少数民族を主流文化に同化させる政策で、白豪主義の別名ではありません。</t>
        </is>
      </c>
      <c r="K93" s="2" t="inlineStr">
        <is>
          <t>教程7</t>
        </is>
      </c>
    </row>
    <row r="94" ht="45" customHeight="1">
      <c r="A94" s="5" t="n">
        <v>93</v>
      </c>
      <c r="B94" s="5" t="inlineStr">
        <is>
          <t>★★</t>
        </is>
      </c>
      <c r="C94" s="5" t="inlineStr">
        <is>
          <t>フランスで1994年に成立したフランス語使用義務化の法律は何か。</t>
        </is>
      </c>
      <c r="D94" s="5" t="inlineStr">
        <is>
          <t>言語保護法</t>
        </is>
      </c>
      <c r="E94" s="5" t="inlineStr">
        <is>
          <t>トゥーボン法</t>
        </is>
      </c>
      <c r="F94" s="5" t="inlineStr">
        <is>
          <t>国語基本法</t>
        </is>
      </c>
      <c r="G94" s="5" t="inlineStr">
        <is>
          <t>公用語法</t>
        </is>
      </c>
      <c r="H94" s="5" t="n"/>
      <c r="I94" s="6">
        <f>IF(H94="","",IF(H94="B","〇","×"))</f>
        <v/>
      </c>
      <c r="J94" s="7" t="inlineStr">
        <is>
          <t>フランスで1994年に成立した「トゥーボン法」は、公的場面でのフランス語使用を義務づける法律です。文化大臣トゥーボン（Toubon）の名にちなみ、広告・契約書・公的文書などでフランス語の使用を義務化しました。
【他の選択肢】A：「言語保護法」という名称の法律はフランスにはありません。C：「国語基本法」は2005年に韓国で制定された法律で、公文書でのハングル使用を原則とする法律です。D：「公用語法」はカナダの1969年の法律（Official Languages Act）で、英語とフランス語を公用語とするものです。</t>
        </is>
      </c>
      <c r="K94" s="5" t="inlineStr">
        <is>
          <t>教程7</t>
        </is>
      </c>
    </row>
    <row r="95" ht="45" customHeight="1">
      <c r="A95" s="2" t="n">
        <v>94</v>
      </c>
      <c r="B95" s="2" t="inlineStr">
        <is>
          <t>★</t>
        </is>
      </c>
      <c r="C95" s="2" t="inlineStr">
        <is>
          <t>シンガポールの公用語に含まれないものはどれか。</t>
        </is>
      </c>
      <c r="D95" s="2" t="inlineStr">
        <is>
          <t>英語</t>
        </is>
      </c>
      <c r="E95" s="2" t="inlineStr">
        <is>
          <t>マレー語</t>
        </is>
      </c>
      <c r="F95" s="2" t="inlineStr">
        <is>
          <t>日本語</t>
        </is>
      </c>
      <c r="G95" s="2" t="inlineStr">
        <is>
          <t>タミル語</t>
        </is>
      </c>
      <c r="H95" s="2" t="n"/>
      <c r="I95" s="3">
        <f>IF(H95="","",IF(H95="C","〇","×"))</f>
        <v/>
      </c>
      <c r="J95" s="4" t="inlineStr">
        <is>
          <t>シンガポールの公用語は英語・マレー語・中国語（華語）・タミル語の4言語です。日本語は公用語に含まれていません。国語はマレー語ですが、実質的には英語が行政・教育の共通語として機能しています。
【他の選択肢】A：英語はシンガポールの4公用語の一つで、教育・行政の主要言語です。B：マレー語も4公用語の一つで、国歌はマレー語で歌われます。D：タミル語も4公用語の一つで、インド系住民の言語として認められています。</t>
        </is>
      </c>
      <c r="K95" s="2" t="inlineStr">
        <is>
          <t>教程7</t>
        </is>
      </c>
    </row>
    <row r="96" ht="45" customHeight="1">
      <c r="A96" s="5" t="n">
        <v>95</v>
      </c>
      <c r="B96" s="5" t="inlineStr">
        <is>
          <t>★★</t>
        </is>
      </c>
      <c r="C96" s="5" t="inlineStr">
        <is>
          <t>ブルックスの「見える文化」の別名はどれか。</t>
        </is>
      </c>
      <c r="D96" s="5" t="inlineStr">
        <is>
          <t>スモールシーc文化</t>
        </is>
      </c>
      <c r="E96" s="5" t="inlineStr">
        <is>
          <t>ラージシーC文化</t>
        </is>
      </c>
      <c r="F96" s="5" t="inlineStr">
        <is>
          <t>サブカルチャー</t>
        </is>
      </c>
      <c r="G96" s="5" t="inlineStr">
        <is>
          <t>トータルカルチャー</t>
        </is>
      </c>
      <c r="H96" s="5" t="n"/>
      <c r="I96" s="6">
        <f>IF(H96="","",IF(H96="B","〇","×"))</f>
        <v/>
      </c>
      <c r="J96" s="7" t="inlineStr">
        <is>
          <t>ブルックス（Nelson Brooks）は文化を「見える文化（大文字のC文化/ラージシーC文化）」と「見えない文化（小文字のc文化/スモールシーc文化）」に分類しました。見える文化は文学・芸術・歴史などの「高文化」、見えない文化は日常の行動様式・価値観などの「生活文化」です。
【他の選択肢】A：スモールシーc文化（小文字のc文化）は「見えない文化」の別名であり、「見える文化」ではありません。C：サブカルチャーは特定の集団に固有の文化で、ブルックスの分類とは異なる概念です。D：トータルカルチャーは社会全体に共通する文化で、ブルックスの二分法とは別の概念です。</t>
        </is>
      </c>
      <c r="K96" s="5" t="inlineStr">
        <is>
          <t>教程7</t>
        </is>
      </c>
    </row>
    <row r="97" ht="45" customHeight="1">
      <c r="A97" s="5" t="n">
        <v>96</v>
      </c>
      <c r="B97" s="5" t="inlineStr">
        <is>
          <t>★★</t>
        </is>
      </c>
      <c r="C97" s="5" t="inlineStr">
        <is>
          <t>文化変容モデルを提唱した学者は誰か。</t>
        </is>
      </c>
      <c r="D97" s="5" t="inlineStr">
        <is>
          <t>ジャイルズ</t>
        </is>
      </c>
      <c r="E97" s="5" t="inlineStr">
        <is>
          <t>シューマン</t>
        </is>
      </c>
      <c r="F97" s="5" t="inlineStr">
        <is>
          <t>カーター</t>
        </is>
      </c>
      <c r="G97" s="5" t="inlineStr">
        <is>
          <t>ブルックス</t>
        </is>
      </c>
      <c r="H97" s="5" t="n"/>
      <c r="I97" s="6">
        <f>IF(H97="","",IF(H97="B","〇","×"))</f>
        <v/>
      </c>
      <c r="J97" s="7" t="inlineStr">
        <is>
          <t>文化変容モデル（Acculturation Model）を提唱したのはシューマン（John Schumann）です。第二言語習得における社会的・心理的距離が学習成果に影響するという理論で、ピジン化仮説とも関連しています。
【他の選択肢】A：ジャイルズ（Howard Giles）はアコモデーション理論（言語適応理論）を提唱した学者です。C：カーターは「文化の島」の概念を提唱した人物です。D：ブルックスは文化の分類（大文字C/小文字c）を提唱した人物です。</t>
        </is>
      </c>
      <c r="K97" s="5" t="inlineStr">
        <is>
          <t>教程7</t>
        </is>
      </c>
    </row>
    <row r="98" ht="45" customHeight="1">
      <c r="A98" s="5" t="n">
        <v>97</v>
      </c>
      <c r="B98" s="5" t="inlineStr">
        <is>
          <t>★★</t>
        </is>
      </c>
      <c r="C98" s="5" t="inlineStr">
        <is>
          <t>アコモデーション理論を提唱した学者は誰か。</t>
        </is>
      </c>
      <c r="D98" s="5" t="inlineStr">
        <is>
          <t>シューマン</t>
        </is>
      </c>
      <c r="E98" s="5" t="inlineStr">
        <is>
          <t>ブルックス</t>
        </is>
      </c>
      <c r="F98" s="5" t="inlineStr">
        <is>
          <t>ジャイルズ</t>
        </is>
      </c>
      <c r="G98" s="5" t="inlineStr">
        <is>
          <t>カーター</t>
        </is>
      </c>
      <c r="H98" s="5" t="n"/>
      <c r="I98" s="6">
        <f>IF(H98="","",IF(H98="C","〇","×"))</f>
        <v/>
      </c>
      <c r="J98" s="7" t="inlineStr">
        <is>
          <t>アコモデーション理論（言語適応理論）を提唱したのはジャイルズ（Howard Giles）です。話者が相手との関係に応じて言語行動を調整（収束・拡散）するという理論です。
【他の選択肢】A：シューマンは文化変容モデル（第二言語習得と文化変容の関係）を提唱した学者です。B：ブルックスは文化の大文字C/小文字cの分類を提唱しました。D：カーターは「文化の島」の概念を提唱した人物です。</t>
        </is>
      </c>
      <c r="K98" s="5" t="inlineStr">
        <is>
          <t>教程7</t>
        </is>
      </c>
    </row>
    <row r="99" ht="45" customHeight="1">
      <c r="A99" s="2" t="n">
        <v>98</v>
      </c>
      <c r="B99" s="2" t="inlineStr">
        <is>
          <t>★</t>
        </is>
      </c>
      <c r="C99" s="2" t="inlineStr">
        <is>
          <t>異文化適応過程のモデルとして知られる曲線は何か。</t>
        </is>
      </c>
      <c r="D99" s="2" t="inlineStr">
        <is>
          <t>S字カーブ</t>
        </is>
      </c>
      <c r="E99" s="2" t="inlineStr">
        <is>
          <t>Uカーブ</t>
        </is>
      </c>
      <c r="F99" s="2" t="inlineStr">
        <is>
          <t>J字カーブ</t>
        </is>
      </c>
      <c r="G99" s="2" t="inlineStr">
        <is>
          <t>V字カーブ</t>
        </is>
      </c>
      <c r="H99" s="2" t="n"/>
      <c r="I99" s="3">
        <f>IF(H99="","",IF(H99="B","〇","×"))</f>
        <v/>
      </c>
      <c r="J99" s="4" t="inlineStr">
        <is>
          <t>異文化適応過程のモデルとして知られるのは「Uカーブ」です。ハニムーン期（高揚）→カルチャーショック期（不適応）→回復期→適応期という経過をたどり、U字型の曲線を描きます。帰国後にも同様の過程をたどるとする「Wカーブ」もあります。
【他の選択肢】A：S字カーブは主に成長曲線やイノベーション普及の文脈で使われるもので、異文化適応のモデルではありません。C：J字カーブは主に経済学（為替変動後の貿易収支変化）で使われます。D：V字カーブは景気回復のパターンとして使われますが、異文化適応のモデルではありません。</t>
        </is>
      </c>
      <c r="K99" s="2" t="inlineStr">
        <is>
          <t>教程7</t>
        </is>
      </c>
    </row>
    <row r="100" ht="45" customHeight="1">
      <c r="A100" s="8" t="n">
        <v>99</v>
      </c>
      <c r="B100" s="8" t="inlineStr">
        <is>
          <t>★★★</t>
        </is>
      </c>
      <c r="C100" s="8" t="inlineStr">
        <is>
          <t>「判断留保」を意味する異文化適応の用語はどれか。</t>
        </is>
      </c>
      <c r="D100" s="8" t="inlineStr">
        <is>
          <t>エンパシー</t>
        </is>
      </c>
      <c r="E100" s="8" t="inlineStr">
        <is>
          <t>エポケー</t>
        </is>
      </c>
      <c r="F100" s="8" t="inlineStr">
        <is>
          <t>アサーション</t>
        </is>
      </c>
      <c r="G100" s="8" t="inlineStr">
        <is>
          <t>自己開示</t>
        </is>
      </c>
      <c r="H100" s="8" t="n"/>
      <c r="I100" s="9">
        <f>IF(H100="","",IF(H100="B","〇","×"))</f>
        <v/>
      </c>
      <c r="J100" s="10" t="inlineStr">
        <is>
          <t>「判断留保」を意味する異文化適応の用語は「エポケー」です。フッサールの現象学に由来する概念で、異文化に接した際に自分の価値観で即座に判断せず、判断を一時停止することを指します。
【他の選択肢】A：エンパシー（empathy）は「共感」を意味し、相手の立場に立って感情を理解する能力です。C：アサーション（assertion）は「自己主張」を意味し、自分の考えや気持ちを適切に表現するコミュニケーション技法です。D：自己開示は自分に関する情報を相手に伝えることです。</t>
        </is>
      </c>
      <c r="K100" s="8" t="inlineStr">
        <is>
          <t>教程7</t>
        </is>
      </c>
    </row>
    <row r="101" ht="45" customHeight="1">
      <c r="A101" s="5" t="n">
        <v>100</v>
      </c>
      <c r="B101" s="5" t="inlineStr">
        <is>
          <t>★★</t>
        </is>
      </c>
      <c r="C101" s="5" t="inlineStr">
        <is>
          <t>他文化と自文化の違いへの気づきを何と言うか。</t>
        </is>
      </c>
      <c r="D101" s="5" t="inlineStr">
        <is>
          <t>異文化間トレランス</t>
        </is>
      </c>
      <c r="E101" s="5" t="inlineStr">
        <is>
          <t>カルチュラル・アウェアネス</t>
        </is>
      </c>
      <c r="F101" s="5" t="inlineStr">
        <is>
          <t>ステレオタイプ</t>
        </is>
      </c>
      <c r="G101" s="5" t="inlineStr">
        <is>
          <t>エンパワーメント</t>
        </is>
      </c>
      <c r="H101" s="5" t="n"/>
      <c r="I101" s="6">
        <f>IF(H101="","",IF(H101="B","〇","×"))</f>
        <v/>
      </c>
      <c r="J101" s="7" t="inlineStr">
        <is>
          <t>他文化と自文化の違いへの気づきを「カルチュラル・アウェアネス」と言います。異文化理解の第一歩であり、自分の文化的前提や偏見に気づくことを含みます。
【他の選択肢】A：異文化間トレランスは他者を受容し、文化的葛藤に耐えながら相互作用を続ける態度・能力です。C：ステレオタイプは特定集団への画一的な固定観念であり、「気づき」とは逆に偏見の一形態です。D：エンパワーメントは人が本来持つ力を活性化させることで、文化的気づきとは異なる概念です。</t>
        </is>
      </c>
      <c r="K101" s="5" t="inlineStr">
        <is>
          <t>教程7</t>
        </is>
      </c>
    </row>
    <row r="102" ht="45" customHeight="1">
      <c r="A102" s="2" t="n">
        <v>101</v>
      </c>
      <c r="B102" s="2" t="inlineStr">
        <is>
          <t>★</t>
        </is>
      </c>
      <c r="C102" s="2" t="inlineStr">
        <is>
          <t>特定の集団に対する画一的な固定観念を何と言うか。</t>
        </is>
      </c>
      <c r="D102" s="2" t="inlineStr">
        <is>
          <t>プレジュディス</t>
        </is>
      </c>
      <c r="E102" s="2" t="inlineStr">
        <is>
          <t>ステレオタイプ</t>
        </is>
      </c>
      <c r="F102" s="2" t="inlineStr">
        <is>
          <t>エスノセントリズム</t>
        </is>
      </c>
      <c r="G102" s="2" t="inlineStr">
        <is>
          <t>カルチュラル・アウェアネス</t>
        </is>
      </c>
      <c r="H102" s="2" t="n"/>
      <c r="I102" s="3">
        <f>IF(H102="","",IF(H102="B","〇","×"))</f>
        <v/>
      </c>
      <c r="J102" s="4" t="inlineStr">
        <is>
          <t>特定の集団に対する画一的な固定観念を「ステレオタイプ」と言います。「日本人は真面目」「アメリカ人は自己主張が強い」など、個人差を無視して集団全体に当てはめる思い込みです。偏見（プレジュディス）の基盤となることがあります。
【他の選択肢】A：プレジュディス（prejudice）は「偏見」を意味し、特定の集団やその成員に対する根拠のない否定的態度です。ステレオタイプが認知的側面なのに対し、偏見は感情的・態度的側面が強い概念です。C：エスノセントリズム（ethnocentrism）は「自民族中心主義」で、自分の文化を基準に他文化を否定的に判断する態度です。D：カルチュラル・アウェアネスは文化的な違いへの「気づき」で、固定観念とは逆の概念です。</t>
        </is>
      </c>
      <c r="K102" s="2" t="inlineStr">
        <is>
          <t>教程7</t>
        </is>
      </c>
    </row>
    <row r="103" ht="45" customHeight="1">
      <c r="A103" s="2" t="n">
        <v>102</v>
      </c>
      <c r="B103" s="2" t="inlineStr">
        <is>
          <t>★</t>
        </is>
      </c>
      <c r="C103" s="2" t="inlineStr">
        <is>
          <t>公共空間における看板・標識等の表示を研究する分野を何と言うか。</t>
        </is>
      </c>
      <c r="D103" s="2" t="inlineStr">
        <is>
          <t>社会言語学</t>
        </is>
      </c>
      <c r="E103" s="2" t="inlineStr">
        <is>
          <t>言語景観</t>
        </is>
      </c>
      <c r="F103" s="2" t="inlineStr">
        <is>
          <t>語用論</t>
        </is>
      </c>
      <c r="G103" s="2" t="inlineStr">
        <is>
          <t>意味論</t>
        </is>
      </c>
      <c r="H103" s="2" t="n"/>
      <c r="I103" s="3">
        <f>IF(H103="","",IF(H103="B","〇","×"))</f>
        <v/>
      </c>
      <c r="J103" s="4" t="inlineStr">
        <is>
          <t>公共空間における看板・標識・広告・掲示物などの言語表示を研究する分野を「言語景観（linguistic landscape）」と言います。多言語社会の実態を可視的に把握できるため、近年注目されている研究分野です。
【他の選択肢】A：社会言語学は言語と社会の関係を広く扱う学問分野で、言語景観はその中の一分野です。C：語用論は文脈における言語使用や言外の意味を扱う分野で、公共表示の研究ではありません。D：意味論は語や文の文字通りの意味を扱う分野です。</t>
        </is>
      </c>
      <c r="K103" s="2" t="inlineStr">
        <is>
          <t>教程7</t>
        </is>
      </c>
    </row>
    <row r="104" ht="45" customHeight="1">
      <c r="A104" s="5" t="n">
        <v>103</v>
      </c>
      <c r="B104" s="5" t="inlineStr">
        <is>
          <t>★★</t>
        </is>
      </c>
      <c r="C104" s="5" t="inlineStr">
        <is>
          <t>韓国の2005年制定の公文書ハングル使用原則の法律は何か。</t>
        </is>
      </c>
      <c r="D104" s="5" t="inlineStr">
        <is>
          <t>漢字廃止法</t>
        </is>
      </c>
      <c r="E104" s="5" t="inlineStr">
        <is>
          <t>国語基本法</t>
        </is>
      </c>
      <c r="F104" s="5" t="inlineStr">
        <is>
          <t>ハングル促進法</t>
        </is>
      </c>
      <c r="G104" s="5" t="inlineStr">
        <is>
          <t>言語政策法</t>
        </is>
      </c>
      <c r="H104" s="5" t="n"/>
      <c r="I104" s="6">
        <f>IF(H104="","",IF(H104="B","〇","×"))</f>
        <v/>
      </c>
      <c r="J104" s="7" t="inlineStr">
        <is>
          <t>韓国で2005年に制定された「国語基本法」は、公文書でハングル使用を原則とする法律です。韓国語の発展と保全、国民の言語生活の向上を目的としています。
【他の選択肢】A：「漢字廃止法」という名称の法律は存在しません。C：「ハングル促進法」という法律も存在しません。D：「言語政策法」も韓国の法律名としては正しくありません。</t>
        </is>
      </c>
      <c r="K104" s="5" t="inlineStr">
        <is>
          <t>教程7</t>
        </is>
      </c>
    </row>
    <row r="105" ht="45" customHeight="1">
      <c r="A105" s="5" t="n">
        <v>104</v>
      </c>
      <c r="B105" s="5" t="inlineStr">
        <is>
          <t>★★</t>
        </is>
      </c>
      <c r="C105" s="5" t="inlineStr">
        <is>
          <t>アイヌ民族を「先住民族」と明記した2019年の法律の通称は何か。</t>
        </is>
      </c>
      <c r="D105" s="5" t="inlineStr">
        <is>
          <t>アイヌ文化振興法</t>
        </is>
      </c>
      <c r="E105" s="5" t="inlineStr">
        <is>
          <t>アイヌ施策推進法</t>
        </is>
      </c>
      <c r="F105" s="5" t="inlineStr">
        <is>
          <t>先住民族保護法</t>
        </is>
      </c>
      <c r="G105" s="5" t="inlineStr">
        <is>
          <t>多文化共生推進法</t>
        </is>
      </c>
      <c r="H105" s="5" t="n"/>
      <c r="I105" s="6">
        <f>IF(H105="","",IF(H105="B","〇","×"))</f>
        <v/>
      </c>
      <c r="J105" s="7" t="inlineStr">
        <is>
          <t>2019年に施行された「アイヌ施策推進法」は、アイヌ民族を日本の「先住民族」と初めて法的に明記した法律です。アイヌ文化の振興、差別の禁止、民族共生象徴空間「ウポポイ」の設置などを定めています。
【他の選択肢】A：アイヌ文化振興法は1997年に制定された法律で、「先住民族」とは明記していませんでした。2019年のアイヌ施策推進法の施行により廃止されました。C：「先住民族保護法」という名称の法律は日本には存在しません。D：「多文化共生推進法」も現時点で日本には存在しません。</t>
        </is>
      </c>
      <c r="K105" s="5" t="inlineStr">
        <is>
          <t>教程7</t>
        </is>
      </c>
    </row>
    <row r="106" ht="45" customHeight="1">
      <c r="A106" s="8" t="n">
        <v>105</v>
      </c>
      <c r="B106" s="8" t="inlineStr">
        <is>
          <t>★★★</t>
        </is>
      </c>
      <c r="C106" s="8" t="inlineStr">
        <is>
          <t>ドイツの新移民法（2005年）で設けられたドイツ語学習コースを何と言うか。</t>
        </is>
      </c>
      <c r="D106" s="8" t="inlineStr">
        <is>
          <t>統合コース</t>
        </is>
      </c>
      <c r="E106" s="8" t="inlineStr">
        <is>
          <t>社会統合コース</t>
        </is>
      </c>
      <c r="F106" s="8" t="inlineStr">
        <is>
          <t>移民適応コース</t>
        </is>
      </c>
      <c r="G106" s="8" t="inlineStr">
        <is>
          <t>言語習得コース</t>
        </is>
      </c>
      <c r="H106" s="8" t="n"/>
      <c r="I106" s="9">
        <f>IF(H106="","",IF(H106="B","〇","×"))</f>
        <v/>
      </c>
      <c r="J106" s="10" t="inlineStr">
        <is>
          <t>ドイツの新移民法（2005年施行）で設けられたドイツ語学習コースは「社会統合コース（Integrationskurs）」です。移民に対してドイツ語と市民生活の知識を教える600〜900時間のコースです。
【他の選択肢】A：「統合コース」は不正確で、正式には「社会統合コース」です。C：「移民適応コース」という名称のコースはありません。D：「言語習得コース」も正式名称ではありません。</t>
        </is>
      </c>
      <c r="K106" s="8" t="inlineStr">
        <is>
          <t>教程7</t>
        </is>
      </c>
    </row>
    <row r="107" ht="45" customHeight="1">
      <c r="A107" s="8" t="n">
        <v>106</v>
      </c>
      <c r="B107" s="8" t="inlineStr">
        <is>
          <t>★★★</t>
        </is>
      </c>
      <c r="C107" s="8" t="inlineStr">
        <is>
          <t>民族共生象徴空間「ウポポイ」の一般公開開始年は何年か。</t>
        </is>
      </c>
      <c r="D107" s="8" t="inlineStr">
        <is>
          <t>2017年</t>
        </is>
      </c>
      <c r="E107" s="8" t="inlineStr">
        <is>
          <t>2019年</t>
        </is>
      </c>
      <c r="F107" s="8" t="inlineStr">
        <is>
          <t>2020年</t>
        </is>
      </c>
      <c r="G107" s="8" t="inlineStr">
        <is>
          <t>2022年</t>
        </is>
      </c>
      <c r="H107" s="8" t="n"/>
      <c r="I107" s="9">
        <f>IF(H107="","",IF(H107="C","〇","×"))</f>
        <v/>
      </c>
      <c r="J107" s="10" t="inlineStr">
        <is>
          <t>民族共生象徴空間「ウポポイ」は2020年に北海道白老町に一般公開されました。アイヌ文化の復興・発展のための拠点施設で、国立アイヌ民族博物館や体験交流ホールなどで構成されています。
【他の選択肢】A：2017年は開業年ではありません。B：2019年はアイヌ施策推進法の施行年ですが、ウポポイの開業は翌年です。D：2022年も開業年ではありません。</t>
        </is>
      </c>
      <c r="K107" s="8" t="inlineStr">
        <is>
          <t>教程7</t>
        </is>
      </c>
    </row>
    <row r="108" ht="45" customHeight="1">
      <c r="A108" s="5" t="n">
        <v>107</v>
      </c>
      <c r="B108" s="5" t="inlineStr">
        <is>
          <t>★★</t>
        </is>
      </c>
      <c r="C108" s="5" t="inlineStr">
        <is>
          <t>複言語主義とはどのような考え方か。</t>
        </is>
      </c>
      <c r="D108" s="5" t="inlineStr">
        <is>
          <t>国家が複数の公用語を持つこと</t>
        </is>
      </c>
      <c r="E108" s="5" t="inlineStr">
        <is>
          <t>個人が生活状況に沿って複数言語を使用することを認める考え方</t>
        </is>
      </c>
      <c r="F108" s="5" t="inlineStr">
        <is>
          <t>全国民が英語を学ぶこと</t>
        </is>
      </c>
      <c r="G108" s="5" t="inlineStr">
        <is>
          <t>一言語のみ使用すべきという考え方</t>
        </is>
      </c>
      <c r="H108" s="5" t="n"/>
      <c r="I108" s="6">
        <f>IF(H108="","",IF(H108="B","〇","×"))</f>
        <v/>
      </c>
      <c r="J108" s="7" t="inlineStr">
        <is>
          <t>複言語主義（plurilingualism）とは、個人が複数の言語を生活状況に応じて使用することを認め、それを肯定的に捉える考え方です。CEFRが推進する理念で、多言語主義（multilingualism：社会レベルで複数言語が存在すること）とは区別されます。
【他の選択肢】A：「国家が複数の公用語を持つこと」は多言語主義（multilingualism）の説明であり、複言語主義とは異なります。C：「全国民が英語を学ぶこと」は特定の言語政策であり、複言語主義の考え方ではありません。D：「一言語のみ使用すべき」は単一言語主義（monolingualism）であり、複言語主義とは正反対です。</t>
        </is>
      </c>
      <c r="K108" s="5" t="inlineStr">
        <is>
          <t>教程7</t>
        </is>
      </c>
    </row>
    <row r="109" ht="45" customHeight="1">
      <c r="A109" s="8" t="n">
        <v>108</v>
      </c>
      <c r="B109" s="8" t="inlineStr">
        <is>
          <t>★★★</t>
        </is>
      </c>
      <c r="C109" s="8" t="inlineStr">
        <is>
          <t>イギリスの1985年の教育報告書の通称は何か。</t>
        </is>
      </c>
      <c r="D109" s="8" t="inlineStr">
        <is>
          <t>バルフォア・レポート</t>
        </is>
      </c>
      <c r="E109" s="8" t="inlineStr">
        <is>
          <t>スワン・レポート</t>
        </is>
      </c>
      <c r="F109" s="8" t="inlineStr">
        <is>
          <t>ウィリアムズ・レポート</t>
        </is>
      </c>
      <c r="G109" s="8" t="inlineStr">
        <is>
          <t>ジョンソン・レポート</t>
        </is>
      </c>
      <c r="H109" s="8" t="n"/>
      <c r="I109" s="9">
        <f>IF(H109="","",IF(H109="B","〇","×"))</f>
        <v/>
      </c>
      <c r="J109" s="10" t="inlineStr">
        <is>
          <t>イギリスの1985年の教育報告書は「スワン・レポート」と呼ばれます。多文化教育の推進を提言したもので、「すべての子どものための教育（Education for All）」が副題です。人種差別への対応と多文化社会における教育のあり方を論じました。
【他の選択肢】A：バルフォア・レポートはイギリス帝国の自治領に関する1926年の報告書で、教育報告書ではありません。C：ウィリアムズ・レポートはオーストラリアの1979年の言語政策報告書です。D：ジョンソン・レポートという教育報告書はありません。</t>
        </is>
      </c>
      <c r="K109" s="8" t="inlineStr">
        <is>
          <t>教程7</t>
        </is>
      </c>
    </row>
    <row r="110" ht="45" customHeight="1">
      <c r="A110" s="8" t="n">
        <v>109</v>
      </c>
      <c r="B110" s="8" t="inlineStr">
        <is>
          <t>★★★</t>
        </is>
      </c>
      <c r="C110" s="8" t="inlineStr">
        <is>
          <t>フランスの2006年移民法で導入された方式は何か。</t>
        </is>
      </c>
      <c r="D110" s="8" t="inlineStr">
        <is>
          <t>トゥーボン法</t>
        </is>
      </c>
      <c r="E110" s="8" t="inlineStr">
        <is>
          <t>選択的移民政策</t>
        </is>
      </c>
      <c r="F110" s="8" t="inlineStr">
        <is>
          <t>国籍法</t>
        </is>
      </c>
      <c r="G110" s="8" t="inlineStr">
        <is>
          <t>外国人管理法</t>
        </is>
      </c>
      <c r="H110" s="8" t="n"/>
      <c r="I110" s="9">
        <f>IF(H110="","",IF(H110="B","〇","×"))</f>
        <v/>
      </c>
      <c r="J110" s="10" t="inlineStr">
        <is>
          <t>フランスの2006年移民法で導入されたのは「選択的移民政策（immigration choisie）」です。フランスにとって望ましい人材を選別して受け入れるという方針で、従来の家族呼び寄せ中心の移民政策からの転換を図りました。
【他の選択肢】A：トゥーボン法は1994年のフランス語使用義務化の法律で、2006年の移民法とは別の法律です。C：「国籍法」は国籍取得に関する法律の一般名称で、2006年移民法の内容を指すものではありません。D：「外国人管理法」も2006年移民法の正式な名称や内容ではありません。</t>
        </is>
      </c>
      <c r="K110" s="8" t="inlineStr">
        <is>
          <t>教程7</t>
        </is>
      </c>
    </row>
    <row r="111" ht="45" customHeight="1">
      <c r="A111" s="8" t="n">
        <v>110</v>
      </c>
      <c r="B111" s="8" t="inlineStr">
        <is>
          <t>★★★</t>
        </is>
      </c>
      <c r="C111" s="8" t="inlineStr">
        <is>
          <t>中国で繁体字から簡体字への文字改革が始まったのは何年か。</t>
        </is>
      </c>
      <c r="D111" s="8" t="inlineStr">
        <is>
          <t>1911年</t>
        </is>
      </c>
      <c r="E111" s="8" t="inlineStr">
        <is>
          <t>1949年</t>
        </is>
      </c>
      <c r="F111" s="8" t="inlineStr">
        <is>
          <t>1951年</t>
        </is>
      </c>
      <c r="G111" s="8" t="inlineStr">
        <is>
          <t>1964年</t>
        </is>
      </c>
      <c r="H111" s="8" t="n"/>
      <c r="I111" s="9">
        <f>IF(H111="","",IF(H111="C","〇","×"))</f>
        <v/>
      </c>
      <c r="J111" s="10" t="inlineStr">
        <is>
          <t>中国で繁体字から簡体字への文字改革が始まったのは1951年です。1949年の中華人民共和国建国後、識字率向上のために漢字の簡略化が推進されました。1964年に「簡化字総表」が公布されました。
【他の選択肢】A：1911年は辛亥革命の年で、清朝が倒れ中華民国が成立しました。文字改革はこの時期ではありません。B：1949年は中華人民共和国の建国年ですが、文字改革の開始は建国後の1951年です。D：1964年は「簡化字総表」が公布された年で、改革の開始年ではなく整理・完成段階の年です。</t>
        </is>
      </c>
      <c r="K111" s="8" t="inlineStr">
        <is>
          <t>教程7</t>
        </is>
      </c>
    </row>
    <row r="112" ht="45" customHeight="1">
      <c r="A112" s="8" t="n">
        <v>111</v>
      </c>
      <c r="B112" s="8" t="inlineStr">
        <is>
          <t>★★★</t>
        </is>
      </c>
      <c r="C112" s="8" t="inlineStr">
        <is>
          <t>アメリカの「21世紀の外国語学習スタンダーズ」の5Cに含まれないものはどれか。</t>
        </is>
      </c>
      <c r="D112" s="8" t="inlineStr">
        <is>
          <t>Communication</t>
        </is>
      </c>
      <c r="E112" s="8" t="inlineStr">
        <is>
          <t>Cultures</t>
        </is>
      </c>
      <c r="F112" s="8" t="inlineStr">
        <is>
          <t>Computation</t>
        </is>
      </c>
      <c r="G112" s="8" t="inlineStr">
        <is>
          <t>Communities</t>
        </is>
      </c>
      <c r="H112" s="8" t="n"/>
      <c r="I112" s="9">
        <f>IF(H112="","",IF(H112="C","〇","×"))</f>
        <v/>
      </c>
      <c r="J112" s="10" t="inlineStr">
        <is>
          <t>アメリカの「21世紀の外国語学習スタンダーズ」の5Cは、Communication（コミュニケーション）、Cultures（文化）、Connections（つながり）、Comparisons（比較）、Communities（コミュニティ）の5つです。Computation（計算）は含まれません。
【他の選択肢】A：Communicationは5Cの一つで、外国語での意思疎通能力です。B：Culturesも5Cの一つで、文化の理解と実践です。D：Communitiesも5Cの一つで、学校の内外で多言語コミュニティに参加することを指します。</t>
        </is>
      </c>
      <c r="K112" s="8" t="inlineStr">
        <is>
          <t>教程7</t>
        </is>
      </c>
    </row>
    <row r="113" ht="45" customHeight="1">
      <c r="A113" s="5" t="n">
        <v>112</v>
      </c>
      <c r="B113" s="5" t="inlineStr">
        <is>
          <t>★★</t>
        </is>
      </c>
      <c r="C113" s="5" t="inlineStr">
        <is>
          <t>「言外の意味」を扱うのは意味論と語用論のどちらか。</t>
        </is>
      </c>
      <c r="D113" s="5" t="inlineStr">
        <is>
          <t>意味論</t>
        </is>
      </c>
      <c r="E113" s="5" t="inlineStr">
        <is>
          <t>語用論</t>
        </is>
      </c>
      <c r="F113" s="5" t="inlineStr">
        <is>
          <t>形態論</t>
        </is>
      </c>
      <c r="G113" s="5" t="inlineStr">
        <is>
          <t>統語論</t>
        </is>
      </c>
      <c r="H113" s="5" t="n"/>
      <c r="I113" s="6">
        <f>IF(H113="","",IF(H113="B","〇","×"))</f>
        <v/>
      </c>
      <c r="J113" s="7" t="inlineStr">
        <is>
          <t>「言外の意味」を扱うのは語用論です。語用論は文脈や状況に依存する意味（含意・推論・前提など）を扱います。一方、意味論は文脈に依存しない語や文の文字通りの意味を扱います。
【他の選択肢】A：意味論（semantics）は文字通りの意味（辞書的意味・文の真理条件など）を扱う分野で、言外の意味は扱いません。C：形態論（morphology）は語の構造（接辞・語形変化など）を扱う分野です。D：統語論（syntax）は文の構造（語順・句構造など）を扱う分野です。</t>
        </is>
      </c>
      <c r="K113" s="5" t="inlineStr">
        <is>
          <t>教程7</t>
        </is>
      </c>
    </row>
    <row r="114" ht="45" customHeight="1">
      <c r="A114" s="5" t="n">
        <v>113</v>
      </c>
      <c r="B114" s="5" t="inlineStr">
        <is>
          <t>★★</t>
        </is>
      </c>
      <c r="C114" s="5" t="inlineStr">
        <is>
          <t>異文化間トレランスとはどのような態度か。</t>
        </is>
      </c>
      <c r="D114" s="5" t="inlineStr">
        <is>
          <t>異文化を排除する態度</t>
        </is>
      </c>
      <c r="E114" s="5" t="inlineStr">
        <is>
          <t>ショックを受けない態度</t>
        </is>
      </c>
      <c r="F114" s="5" t="inlineStr">
        <is>
          <t>他者を受容し葛藤に耐え相互作用が生まれる状態</t>
        </is>
      </c>
      <c r="G114" s="5" t="inlineStr">
        <is>
          <t>自文化が優れていると考える態度</t>
        </is>
      </c>
      <c r="H114" s="5" t="n"/>
      <c r="I114" s="6">
        <f>IF(H114="","",IF(H114="C","〇","×"))</f>
        <v/>
      </c>
      <c r="J114" s="7" t="inlineStr">
        <is>
          <t>異文化間トレランスとは、異文化との接触で生じる葛藤や不確実さに耐えながら、他者を受容し、相互作用を続けられる態度・能力のことです。単にショックを感じないことではなく、葛藤を抱えながらも関わり続ける力です。
【他の選択肢】A：異文化を排除する態度はエスノセントリズム（自民族中心主義）に近い態度であり、トレランスとは正反対です。B：ショックを受けないことは鈍感さであり、トレランスとは異なります。トレランスは葛藤を感じつつも耐える力です。D：自文化が優れていると考える態度はエスノセントリズムであり、トレランスではありません。</t>
        </is>
      </c>
      <c r="K114" s="5" t="inlineStr">
        <is>
          <t>教程7</t>
        </is>
      </c>
    </row>
    <row r="115" ht="45" customHeight="1">
      <c r="A115" s="5" t="n">
        <v>114</v>
      </c>
      <c r="B115" s="5" t="inlineStr">
        <is>
          <t>★★</t>
        </is>
      </c>
      <c r="C115" s="5" t="inlineStr">
        <is>
          <t>「文化の島」の概念を提唱した学者は誰か。</t>
        </is>
      </c>
      <c r="D115" s="5" t="inlineStr">
        <is>
          <t>ブルックス</t>
        </is>
      </c>
      <c r="E115" s="5" t="inlineStr">
        <is>
          <t>シューマン</t>
        </is>
      </c>
      <c r="F115" s="5" t="inlineStr">
        <is>
          <t>カーター</t>
        </is>
      </c>
      <c r="G115" s="5" t="inlineStr">
        <is>
          <t>ジャイルズ</t>
        </is>
      </c>
      <c r="H115" s="5" t="n"/>
      <c r="I115" s="6">
        <f>IF(H115="","",IF(H115="C","〇","×"))</f>
        <v/>
      </c>
      <c r="J115" s="7" t="inlineStr">
        <is>
          <t>「文化の島」の概念を提唱したのはカーターです。教室を異文化体験の場（文化の島）として構築し、学習者が目標文化に浸る環境を作る教育手法に関する概念です。
【他の選択肢】A：ブルックスは文化の分類（大文字C文化/小文字c文化、見える文化/見えない文化）を提唱した人物です。B：シューマンは文化変容モデル（第二言語習得と文化変容の関係）を提唱しました。D：ジャイルズはアコモデーション理論（言語行動の調整理論）を提唱しました。</t>
        </is>
      </c>
      <c r="K115" s="5" t="inlineStr">
        <is>
          <t>教程7</t>
        </is>
      </c>
    </row>
    <row r="116" ht="45" customHeight="1">
      <c r="A116" s="2" t="n">
        <v>115</v>
      </c>
      <c r="B116" s="2" t="inlineStr">
        <is>
          <t>★</t>
        </is>
      </c>
      <c r="C116" s="2" t="inlineStr">
        <is>
          <t>日本語教育能力検定試験の実施機関はどこか。</t>
        </is>
      </c>
      <c r="D116" s="2" t="inlineStr">
        <is>
          <t>国際交流基金</t>
        </is>
      </c>
      <c r="E116" s="2" t="inlineStr">
        <is>
          <t>日本学生支援機構</t>
        </is>
      </c>
      <c r="F116" s="2" t="inlineStr">
        <is>
          <t>日本国際教育支援協会</t>
        </is>
      </c>
      <c r="G116" s="2" t="inlineStr">
        <is>
          <t>国立国語研究所</t>
        </is>
      </c>
      <c r="H116" s="2" t="n"/>
      <c r="I116" s="3">
        <f>IF(H116="","",IF(H116="C","〇","×"))</f>
        <v/>
      </c>
      <c r="J116" s="4" t="inlineStr">
        <is>
          <t>日本語教育能力検定試験の実施機関はJEES（日本国際教育支援協会）です。1988年に開始された試験で、日本語教師としての基礎的な知識・能力を測定します。JLPTの国内実施機関も同じくJEESです。
【他の選択肢】A：国際交流基金はJLPTの海外実施やJFT-Basicの運営を行う機関で、検定試験の実施機関ではありません。B：日本学生支援機構（JASSO）はEJU（日本留学試験）の実施機関です。D：国立国語研究所は日本語の研究機関であり、試験実施は行っていません。</t>
        </is>
      </c>
      <c r="K116" s="2" t="inlineStr">
        <is>
          <t>教程3</t>
        </is>
      </c>
    </row>
    <row r="117" ht="45" customHeight="1">
      <c r="A117" s="5" t="n">
        <v>116</v>
      </c>
      <c r="B117" s="5" t="inlineStr">
        <is>
          <t>★★</t>
        </is>
      </c>
      <c r="C117" s="5" t="inlineStr">
        <is>
          <t>日本語教育能力検定試験の実施が開始されたのは何年か。</t>
        </is>
      </c>
      <c r="D117" s="5" t="inlineStr">
        <is>
          <t>1984年</t>
        </is>
      </c>
      <c r="E117" s="5" t="inlineStr">
        <is>
          <t>1988年</t>
        </is>
      </c>
      <c r="F117" s="5" t="inlineStr">
        <is>
          <t>1993年</t>
        </is>
      </c>
      <c r="G117" s="5" t="inlineStr">
        <is>
          <t>2004年</t>
        </is>
      </c>
      <c r="H117" s="5" t="n"/>
      <c r="I117" s="6">
        <f>IF(H117="","",IF(H117="B","〇","×"))</f>
        <v/>
      </c>
      <c r="J117" s="7" t="inlineStr">
        <is>
          <t>日本語教育能力検定試験は1988年に実施が開始されました。日本語教師の資質・能力を測定する試験として、日本語教育の質の向上に重要な役割を果たしてきました。
【他の選択肢】A：1984年はJLPT（日本語能力試験）の開始年であり、検定試験の開始年ではありません。C：1993年は技能実習制度の発足年です。D：2004年はJASSO設立の年です。</t>
        </is>
      </c>
      <c r="K117" s="5" t="inlineStr">
        <is>
          <t>教程3</t>
        </is>
      </c>
    </row>
    <row r="118" ht="45" customHeight="1">
      <c r="A118" s="5" t="n">
        <v>117</v>
      </c>
      <c r="B118" s="5" t="inlineStr">
        <is>
          <t>★★</t>
        </is>
      </c>
      <c r="C118" s="5" t="inlineStr">
        <is>
          <t>JLPT実施開始年はいつか。</t>
        </is>
      </c>
      <c r="D118" s="5" t="inlineStr">
        <is>
          <t>1984年</t>
        </is>
      </c>
      <c r="E118" s="5" t="inlineStr">
        <is>
          <t>1988年</t>
        </is>
      </c>
      <c r="F118" s="5" t="inlineStr">
        <is>
          <t>1993年</t>
        </is>
      </c>
      <c r="G118" s="5" t="inlineStr">
        <is>
          <t>2004年</t>
        </is>
      </c>
      <c r="H118" s="5" t="n"/>
      <c r="I118" s="6">
        <f>IF(H118="","",IF(H118="A","〇","×"))</f>
        <v/>
      </c>
      <c r="J118" s="7" t="inlineStr">
        <is>
          <t>JLPT（日本語能力試験）の実施開始年は1984年です。国際交流基金と日本国際教育協会（現JEES）の共催で始まりました。当初は4段階（1〜4級）でしたが、2010年に5段階（N1〜N5）に改定されました。
【他の選択肢】B：1988年は日本語教育能力検定試験の開始年であり、JLPTではありません。C：1993年は技能実習制度の発足年です。D：2004年はJASSO設立の年です。</t>
        </is>
      </c>
      <c r="K118" s="5" t="inlineStr">
        <is>
          <t>教程3</t>
        </is>
      </c>
    </row>
    <row r="119" ht="45" customHeight="1">
      <c r="A119" s="5" t="n">
        <v>118</v>
      </c>
      <c r="B119" s="5" t="inlineStr">
        <is>
          <t>★★</t>
        </is>
      </c>
      <c r="C119" s="5" t="inlineStr">
        <is>
          <t>留学生30万人計画が発表されたのは何年か。</t>
        </is>
      </c>
      <c r="D119" s="5" t="inlineStr">
        <is>
          <t>1983年</t>
        </is>
      </c>
      <c r="E119" s="5" t="inlineStr">
        <is>
          <t>2003年</t>
        </is>
      </c>
      <c r="F119" s="5" t="inlineStr">
        <is>
          <t>2008年</t>
        </is>
      </c>
      <c r="G119" s="5" t="inlineStr">
        <is>
          <t>2010年</t>
        </is>
      </c>
      <c r="H119" s="5" t="n"/>
      <c r="I119" s="6">
        <f>IF(H119="","",IF(H119="C","〇","×"))</f>
        <v/>
      </c>
      <c r="J119" s="7" t="inlineStr">
        <is>
          <t>留学生30万人計画は2008年に福田康夫首相（当時）のもとで発表されました。2020年を目標年として留学生を30万人に増やすことを目指し、2019年に目標が前倒しで達成されました。
【他の選択肢】A：1983年は「留学生10万人計画」が策定された年です。B：2003年は留学生10万人計画の目標が達成された年です。D：2010年は入管法改正で「就学」と「留学」の在留資格が統一された年です。</t>
        </is>
      </c>
      <c r="K119" s="5" t="inlineStr">
        <is>
          <t>教程6</t>
        </is>
      </c>
    </row>
    <row r="120" ht="45" customHeight="1">
      <c r="A120" s="8" t="n">
        <v>119</v>
      </c>
      <c r="B120" s="8" t="inlineStr">
        <is>
          <t>★★★</t>
        </is>
      </c>
      <c r="C120" s="8" t="inlineStr">
        <is>
          <t>日本語教育振興協会（日振協）が設立されたのは何年か。</t>
        </is>
      </c>
      <c r="D120" s="8" t="inlineStr">
        <is>
          <t>1984年</t>
        </is>
      </c>
      <c r="E120" s="8" t="inlineStr">
        <is>
          <t>1988年</t>
        </is>
      </c>
      <c r="F120" s="8" t="inlineStr">
        <is>
          <t>1989年</t>
        </is>
      </c>
      <c r="G120" s="8" t="inlineStr">
        <is>
          <t>1993年</t>
        </is>
      </c>
      <c r="H120" s="8" t="n"/>
      <c r="I120" s="9">
        <f>IF(H120="","",IF(H120="C","〇","×"))</f>
        <v/>
      </c>
      <c r="J120" s="10" t="inlineStr">
        <is>
          <t>日本語教育振興協会（日振協）は1989年に設立されました。日本語教育機関（日本語学校）の審査・認定を行う団体で、教育の質の確保に重要な役割を果たしてきました。上海事件（1988年）を受けて設立が促進されました。
【他の選択肢】A：1984年はJLPTの開始年です。B：1988年は上海事件の年であり、日振協設立はその翌年です。D：1993年は技能実習制度の発足年です。</t>
        </is>
      </c>
      <c r="K120" s="8" t="inlineStr">
        <is>
          <t>教程3</t>
        </is>
      </c>
    </row>
    <row r="121" ht="45" customHeight="1">
      <c r="A121" s="8" t="n">
        <v>120</v>
      </c>
      <c r="B121" s="8" t="inlineStr">
        <is>
          <t>★★★</t>
        </is>
      </c>
      <c r="C121" s="8" t="inlineStr">
        <is>
          <t>上海事件が起きたのは何年か。</t>
        </is>
      </c>
      <c r="D121" s="8" t="inlineStr">
        <is>
          <t>1984年</t>
        </is>
      </c>
      <c r="E121" s="8" t="inlineStr">
        <is>
          <t>1988年</t>
        </is>
      </c>
      <c r="F121" s="8" t="inlineStr">
        <is>
          <t>1989年</t>
        </is>
      </c>
      <c r="G121" s="8" t="inlineStr">
        <is>
          <t>1990年</t>
        </is>
      </c>
      <c r="H121" s="8" t="n"/>
      <c r="I121" s="9">
        <f>IF(H121="","",IF(H121="B","〇","×"))</f>
        <v/>
      </c>
      <c r="J121" s="10" t="inlineStr">
        <is>
          <t>上海事件は1988年に起きた事件です。中国・上海の日本国総領事館に留学・就学ビザを求める大群衆が殺到し、騒乱状態となりました。日本語学校の質の管理と就学生の受入れ体制の見直しのきっかけとなりました。
【他の選択肢】A：1984年はJLPTの開始年です。C：1989年は日振協の設立年であり、上海事件はその前年です。D：1990年は改正入管法の施行年です。</t>
        </is>
      </c>
      <c r="K121" s="8" t="inlineStr">
        <is>
          <t>教程3</t>
        </is>
      </c>
    </row>
    <row r="122" ht="45" customHeight="1">
      <c r="A122" s="5" t="n">
        <v>121</v>
      </c>
      <c r="B122" s="5" t="inlineStr">
        <is>
          <t>★★</t>
        </is>
      </c>
      <c r="C122" s="5" t="inlineStr">
        <is>
          <t>現代日本語書き言葉均衡コーパスの略称はどれか。</t>
        </is>
      </c>
      <c r="D122" s="5" t="inlineStr">
        <is>
          <t>CSJ</t>
        </is>
      </c>
      <c r="E122" s="5" t="inlineStr">
        <is>
          <t>BCCWJ</t>
        </is>
      </c>
      <c r="F122" s="5" t="inlineStr">
        <is>
          <t>CHJ</t>
        </is>
      </c>
      <c r="G122" s="5" t="inlineStr">
        <is>
          <t>NINJAL</t>
        </is>
      </c>
      <c r="H122" s="5" t="n"/>
      <c r="I122" s="6">
        <f>IF(H122="","",IF(H122="B","〇","×"))</f>
        <v/>
      </c>
      <c r="J122" s="7" t="inlineStr">
        <is>
          <t>現代日本語書き言葉均衡コーパスの略称はBCCWJ（Balanced Corpus of Contemporary Written Japanese）です。国立国語研究所が構築した1億語規模の大規模コーパスで、新聞・雑誌・書籍・ウェブなど多様なジャンルのテキストを収録しています。
【他の選択肢】A：CSJは「日本語話し言葉コーパス（Corpus of Spontaneous Japanese）」の略称で、書き言葉ではなく話し言葉のコーパスです。C：CHJは「日本語歴史コーパス（Corpus of Historical Japanese）」の略称で、歴史的文献のコーパスです。D：NINJALは「国立国語研究所（National Institute for Japanese Language and Linguistics）」の略称で、コーパスの名称ではありません。</t>
        </is>
      </c>
      <c r="K122" s="5" t="inlineStr">
        <is>
          <t>教程3</t>
        </is>
      </c>
    </row>
    <row r="123" ht="45" customHeight="1">
      <c r="A123" s="8" t="n">
        <v>122</v>
      </c>
      <c r="B123" s="8" t="inlineStr">
        <is>
          <t>★★★</t>
        </is>
      </c>
      <c r="C123" s="8" t="inlineStr">
        <is>
          <t>BCCWJの全文検索サイトの名称は何か。</t>
        </is>
      </c>
      <c r="D123" s="8" t="inlineStr">
        <is>
          <t>少納言</t>
        </is>
      </c>
      <c r="E123" s="8" t="inlineStr">
        <is>
          <t>中納言</t>
        </is>
      </c>
      <c r="F123" s="8" t="inlineStr">
        <is>
          <t>大納言</t>
        </is>
      </c>
      <c r="G123" s="8" t="inlineStr">
        <is>
          <t>ひまわり</t>
        </is>
      </c>
      <c r="H123" s="8" t="n"/>
      <c r="I123" s="9">
        <f>IF(H123="","",IF(H123="A","〇","×"))</f>
        <v/>
      </c>
      <c r="J123" s="10" t="inlineStr">
        <is>
          <t>BCCWJの全文検索サイトは「少納言」です。少納言はユーザー登録なしで利用できる簡易検索ツールです。より高度な検索機能を持つ「中納言」はユーザー登録が必要です。
【他の選択肢】B：中納言はBCCWJの高機能検索ツールで、品詞情報などを使った詳細な検索が可能ですが、全文検索の簡易版は少納言です。C：大納言はBCCWJの長単位検索システムで、別のツールです。D：ひまわりは国立国語研究所のコーパス検索アプリケーションの名称で、BCCWJ専用の全文検索サイトではありません。</t>
        </is>
      </c>
      <c r="K123" s="8" t="inlineStr">
        <is>
          <t>教程3</t>
        </is>
      </c>
    </row>
    <row r="124" ht="45" customHeight="1">
      <c r="A124" s="5" t="n">
        <v>123</v>
      </c>
      <c r="B124" s="5" t="inlineStr">
        <is>
          <t>★★</t>
        </is>
      </c>
      <c r="C124" s="5" t="inlineStr">
        <is>
          <t>日本語教育学会の学会誌の名称は何か。</t>
        </is>
      </c>
      <c r="D124" s="5" t="inlineStr">
        <is>
          <t>日本語研究</t>
        </is>
      </c>
      <c r="E124" s="5" t="inlineStr">
        <is>
          <t>日本語教育</t>
        </is>
      </c>
      <c r="F124" s="5" t="inlineStr">
        <is>
          <t>言語と文化</t>
        </is>
      </c>
      <c r="G124" s="5" t="inlineStr">
        <is>
          <t>日本語学</t>
        </is>
      </c>
      <c r="H124" s="5" t="n"/>
      <c r="I124" s="6">
        <f>IF(H124="","",IF(H124="B","〇","×"))</f>
        <v/>
      </c>
      <c r="J124" s="7" t="inlineStr">
        <is>
          <t>日本語教育学会の学会誌は『日本語教育』です。1962年に創刊され、日本語教育に関する研究論文、調査報告、実践報告などが掲載されています。
【他の選択肢】A：『日本語研究』は日本語教育学会の学会誌名ではありません。C：『言語と文化』も学会誌名ではありません。D：『日本語学』は明治書院が発行する雑誌で、日本語教育学会の学会誌ではありません。</t>
        </is>
      </c>
      <c r="K124" s="5" t="inlineStr">
        <is>
          <t>教程3</t>
        </is>
      </c>
    </row>
    <row r="125" ht="45" customHeight="1">
      <c r="A125" s="2" t="n">
        <v>124</v>
      </c>
      <c r="B125" s="2" t="inlineStr">
        <is>
          <t>★</t>
        </is>
      </c>
      <c r="C125" s="2" t="inlineStr">
        <is>
          <t>台湾が日本の植民地となったきっかけの戦争は何か。</t>
        </is>
      </c>
      <c r="D125" s="2" t="inlineStr">
        <is>
          <t>日露戦争</t>
        </is>
      </c>
      <c r="E125" s="2" t="inlineStr">
        <is>
          <t>日清戦争</t>
        </is>
      </c>
      <c r="F125" s="2" t="inlineStr">
        <is>
          <t>第一次世界大戦</t>
        </is>
      </c>
      <c r="G125" s="2" t="inlineStr">
        <is>
          <t>米西戦争</t>
        </is>
      </c>
      <c r="H125" s="2" t="n"/>
      <c r="I125" s="3">
        <f>IF(H125="","",IF(H125="B","〇","×"))</f>
        <v/>
      </c>
      <c r="J125" s="4" t="inlineStr">
        <is>
          <t>台湾が日本の植民地となったきっかけは日清戦争（1894〜1895年）です。日清戦争の講和条約（下関条約、1895年）により、清国から台湾が日本に割譲されました。以後1945年まで約50年間、日本の統治下に置かれました。
【他の選択肢】A：日露戦争（1904〜1905年）は台湾ではなく、朝鮮半島への影響が大きい戦争です。C：第一次世界大戦（1914〜1918年）は台湾植民地化の後の出来事です。D：米西戦争（1898年）はアメリカとスペインの戦争で、フィリピンやキューバに関する戦争です。</t>
        </is>
      </c>
      <c r="K125" s="2" t="inlineStr">
        <is>
          <t>教程3</t>
        </is>
      </c>
    </row>
    <row r="126" ht="45" customHeight="1">
      <c r="A126" s="2" t="n">
        <v>125</v>
      </c>
      <c r="B126" s="2" t="inlineStr">
        <is>
          <t>★</t>
        </is>
      </c>
      <c r="C126" s="2" t="inlineStr">
        <is>
          <t>1910年の韓国併合で設置された機関は何か。</t>
        </is>
      </c>
      <c r="D126" s="2" t="inlineStr">
        <is>
          <t>台湾総督府</t>
        </is>
      </c>
      <c r="E126" s="2" t="inlineStr">
        <is>
          <t>朝鮮総督府</t>
        </is>
      </c>
      <c r="F126" s="2" t="inlineStr">
        <is>
          <t>満州国政府</t>
        </is>
      </c>
      <c r="G126" s="2" t="inlineStr">
        <is>
          <t>南洋庁</t>
        </is>
      </c>
      <c r="H126" s="2" t="n"/>
      <c r="I126" s="3">
        <f>IF(H126="","",IF(H126="B","〇","×"))</f>
        <v/>
      </c>
      <c r="J126" s="4" t="inlineStr">
        <is>
          <t>1910年の韓国併合により、朝鮮半島を統治するために「朝鮮総督府」が設置されました。朝鮮総督府のもとで「国語（日本語）」教育が推進されました。
【他の選択肢】A：台湾総督府は1895年の下関条約後に台湾統治のために設置された機関です。C：満州国政府は1932年の満州国建国時に設立された政府です。D：南洋庁は第一次世界大戦後に日本が委任統治した南洋諸島を管轄する機関です。</t>
        </is>
      </c>
      <c r="K126" s="2" t="inlineStr">
        <is>
          <t>教程3</t>
        </is>
      </c>
    </row>
    <row r="127" ht="45" customHeight="1">
      <c r="A127" s="5" t="n">
        <v>126</v>
      </c>
      <c r="B127" s="5" t="inlineStr">
        <is>
          <t>★★</t>
        </is>
      </c>
      <c r="C127" s="5" t="inlineStr">
        <is>
          <t>サンフランシスコ講和条約が結ばれたのは何年か。</t>
        </is>
      </c>
      <c r="D127" s="5" t="inlineStr">
        <is>
          <t>1945年</t>
        </is>
      </c>
      <c r="E127" s="5" t="inlineStr">
        <is>
          <t>1951年</t>
        </is>
      </c>
      <c r="F127" s="5" t="inlineStr">
        <is>
          <t>1952年</t>
        </is>
      </c>
      <c r="G127" s="5" t="inlineStr">
        <is>
          <t>1972年</t>
        </is>
      </c>
      <c r="H127" s="5" t="n"/>
      <c r="I127" s="6">
        <f>IF(H127="","",IF(H127="B","〇","×"))</f>
        <v/>
      </c>
      <c r="J127" s="7" t="inlineStr">
        <is>
          <t>サンフランシスコ講和条約（対日平和条約）は1951年に署名され、1952年に発効しました。この条約により日本は独立を回復し、台湾・朝鮮などの領土権を放棄しました。
【他の選択肢】A：1945年は終戦（ポツダム宣言受諾）の年で、講和条約はその6年後です。C：1952年は条約の発効年であり、署名年ではありません。D：1972年は日中国交正常化の年です。</t>
        </is>
      </c>
      <c r="K127" s="5" t="inlineStr">
        <is>
          <t>教程3</t>
        </is>
      </c>
    </row>
    <row r="128" ht="45" customHeight="1">
      <c r="A128" s="5" t="n">
        <v>127</v>
      </c>
      <c r="B128" s="5" t="inlineStr">
        <is>
          <t>★★</t>
        </is>
      </c>
      <c r="C128" s="5" t="inlineStr">
        <is>
          <t>フォリナートークとは何か。</t>
        </is>
      </c>
      <c r="D128" s="5" t="inlineStr">
        <is>
          <t>教師が学習者に使う話し方</t>
        </is>
      </c>
      <c r="E128" s="5" t="inlineStr">
        <is>
          <t>一般の母語話者が非母語話者に使う簡略化された話し方</t>
        </is>
      </c>
      <c r="F128" s="5" t="inlineStr">
        <is>
          <t>乳幼児に対する話し方</t>
        </is>
      </c>
      <c r="G128" s="5" t="inlineStr">
        <is>
          <t>方言を使った話し方</t>
        </is>
      </c>
      <c r="H128" s="5" t="n"/>
      <c r="I128" s="6">
        <f>IF(H128="","",IF(H128="B","〇","×"))</f>
        <v/>
      </c>
      <c r="J128" s="7" t="inlineStr">
        <is>
          <t>フォリナートークとは、一般の母語話者が非母語話者（外国人）に対して使う簡略化された話し方のことです。ゆっくり話す、語彙を簡単にする、短い文にするなどの特徴があります。教師が使う場合は「ティーチャートーク」と区別されます。
【他の選択肢】A：教師が学習者に使う話し方は「ティーチャートーク」です。フォリナートークは一般の母語話者が使うものです。C：乳幼児に対する話し方は「ベビートーク」（マザリーズとも呼ばれる）です。D：方言を使った話し方はフォリナートークとは関係ありません。</t>
        </is>
      </c>
      <c r="K128" s="5" t="inlineStr">
        <is>
          <t>教程4</t>
        </is>
      </c>
    </row>
    <row r="129" ht="45" customHeight="1">
      <c r="A129" s="2" t="n">
        <v>128</v>
      </c>
      <c r="B129" s="2" t="inlineStr">
        <is>
          <t>★</t>
        </is>
      </c>
      <c r="C129" s="2" t="inlineStr">
        <is>
          <t>ベビートークとは何か。</t>
        </is>
      </c>
      <c r="D129" s="2" t="inlineStr">
        <is>
          <t>教師が学習者に使う話し方</t>
        </is>
      </c>
      <c r="E129" s="2" t="inlineStr">
        <is>
          <t>非母語話者向けの話し方</t>
        </is>
      </c>
      <c r="F129" s="2" t="inlineStr">
        <is>
          <t>乳幼児に対する簡略化された話し方</t>
        </is>
      </c>
      <c r="G129" s="2" t="inlineStr">
        <is>
          <t>方言を使った話し方</t>
        </is>
      </c>
      <c r="H129" s="2" t="n"/>
      <c r="I129" s="3">
        <f>IF(H129="","",IF(H129="C","〇","×"))</f>
        <v/>
      </c>
      <c r="J129" s="4" t="inlineStr">
        <is>
          <t>ベビートーク（マザリーズ/ケアギバースピーチとも）とは、大人が乳幼児に対して使う簡略化された話し方です。高い声、ゆっくりとしたテンポ、短い文、繰り返し、誇張された抑揚などの特徴があります。
【他の選択肢】A：教師が学習者に使う話し方は「ティーチャートーク」です。B：非母語話者向けの話し方は「フォリナートーク」です。D：方言を使った話し方はベビートークとは関係ありません。</t>
        </is>
      </c>
      <c r="K129" s="2" t="inlineStr">
        <is>
          <t>教程4</t>
        </is>
      </c>
    </row>
    <row r="130" ht="45" customHeight="1">
      <c r="A130" s="5" t="n">
        <v>129</v>
      </c>
      <c r="B130" s="5" t="inlineStr">
        <is>
          <t>★★</t>
        </is>
      </c>
      <c r="C130" s="5" t="inlineStr">
        <is>
          <t>維持型バイリンガル教育の目的は何か。</t>
        </is>
      </c>
      <c r="D130" s="5" t="inlineStr">
        <is>
          <t>多数派言語のみを教育すること</t>
        </is>
      </c>
      <c r="E130" s="5" t="inlineStr">
        <is>
          <t>少数派言語能力を伸ばし文化的アイデンティティを強化すること</t>
        </is>
      </c>
      <c r="F130" s="5" t="inlineStr">
        <is>
          <t>母語を忘れさせること</t>
        </is>
      </c>
      <c r="G130" s="5" t="inlineStr">
        <is>
          <t>英語教育を推進すること</t>
        </is>
      </c>
      <c r="H130" s="5" t="n"/>
      <c r="I130" s="6">
        <f>IF(H130="","",IF(H130="B","〇","×"))</f>
        <v/>
      </c>
      <c r="J130" s="7" t="inlineStr">
        <is>
          <t>維持型バイリンガル教育は、少数派言語を母語とする子どもの言語能力を維持・発展させ、文化的アイデンティティを強化することを目的とした教育プログラムです。母語喪失を防ぎ、二言語の発達を目指します。
【他の選択肢】A：多数派言語のみを教育するのは「移行型バイリンガル教育」や「同化主義的教育」に近く、維持型とは異なります。C：母語を忘れさせるのは「サブトラクティブ・バイリンガリズム（減算的二言語使用）」で、維持型の目的とは正反対です。D：英語教育の推進は維持型バイリンガル教育の目的ではありません。</t>
        </is>
      </c>
      <c r="K130" s="5" t="inlineStr">
        <is>
          <t>教程4</t>
        </is>
      </c>
    </row>
    <row r="131" ht="45" customHeight="1">
      <c r="A131" s="5" t="n">
        <v>130</v>
      </c>
      <c r="B131" s="5" t="inlineStr">
        <is>
          <t>★★</t>
        </is>
      </c>
      <c r="C131" s="5" t="inlineStr">
        <is>
          <t>拠点校方式とはどのような方式か。</t>
        </is>
      </c>
      <c r="D131" s="5" t="inlineStr">
        <is>
          <t>別室で指導する方式</t>
        </is>
      </c>
      <c r="E131" s="5" t="inlineStr">
        <is>
          <t>教室内でサポートする方式</t>
        </is>
      </c>
      <c r="F131" s="5" t="inlineStr">
        <is>
          <t>日本語指導体制が整った学校に集中在籍させる方式</t>
        </is>
      </c>
      <c r="G131" s="5" t="inlineStr">
        <is>
          <t>特定の学校に定期的に通う方式</t>
        </is>
      </c>
      <c r="H131" s="5" t="n"/>
      <c r="I131" s="6">
        <f>IF(H131="","",IF(H131="C","〇","×"))</f>
        <v/>
      </c>
      <c r="J131" s="7" t="inlineStr">
        <is>
          <t>拠点校方式とは、日本語指導体制が整った特定の学校に外国人児童を集中的に在籍させる方式です。指導者や教材を集約することで効率的な支援が可能ですが、通学距離が長くなる場合があります。
【他の選択肢】A：別室で指導する方式は「取り出し授業」です。B：教室内でサポートする方式は「入り込み授業」です。D：特定の学校に定期的に通う方式は「センター校方式」で、拠点校方式とは異なります。</t>
        </is>
      </c>
      <c r="K131" s="5" t="inlineStr">
        <is>
          <t>教程4</t>
        </is>
      </c>
    </row>
    <row r="132" ht="45" customHeight="1">
      <c r="A132" s="5" t="n">
        <v>131</v>
      </c>
      <c r="B132" s="5" t="inlineStr">
        <is>
          <t>★★</t>
        </is>
      </c>
      <c r="C132" s="5" t="inlineStr">
        <is>
          <t>センター校方式とはどのような方式か。</t>
        </is>
      </c>
      <c r="D132" s="5" t="inlineStr">
        <is>
          <t>別室で指導する方式</t>
        </is>
      </c>
      <c r="E132" s="5" t="inlineStr">
        <is>
          <t>教室内でサポートする方式</t>
        </is>
      </c>
      <c r="F132" s="5" t="inlineStr">
        <is>
          <t>特定校に集中在籍させる方式</t>
        </is>
      </c>
      <c r="G132" s="5" t="inlineStr">
        <is>
          <t>特定校の日本語教室に定期的に通う方式</t>
        </is>
      </c>
      <c r="H132" s="5" t="n"/>
      <c r="I132" s="6">
        <f>IF(H132="","",IF(H132="D","〇","×"))</f>
        <v/>
      </c>
      <c r="J132" s="7" t="inlineStr">
        <is>
          <t>センター校方式とは、日本語教室を設置した特定の学校に、他の学校に在籍する外国人児童が定期的に通って日本語指導を受ける方式です。在籍校はそのまま地域の学校で、週に数回センター校に通います。
【他の選択肢】A：別室で指導する方式は「取り出し授業」です。B：教室内でサポートする方式は「入り込み授業」です。C：特定校に集中在籍させる方式は「拠点校方式」で、センター校方式では在籍校は地域の学校です。</t>
        </is>
      </c>
      <c r="K132" s="5" t="inlineStr">
        <is>
          <t>教程4</t>
        </is>
      </c>
    </row>
    <row r="133" ht="45" customHeight="1">
      <c r="A133" s="5" t="n">
        <v>132</v>
      </c>
      <c r="B133" s="5" t="inlineStr">
        <is>
          <t>★★</t>
        </is>
      </c>
      <c r="C133" s="5" t="inlineStr">
        <is>
          <t>国際人権規約第27条は何を保護しているか。</t>
        </is>
      </c>
      <c r="D133" s="5" t="inlineStr">
        <is>
          <t>経済的権利</t>
        </is>
      </c>
      <c r="E133" s="5" t="inlineStr">
        <is>
          <t>少数民族の文化・宗教・言語の権利</t>
        </is>
      </c>
      <c r="F133" s="5" t="inlineStr">
        <is>
          <t>教育の権利</t>
        </is>
      </c>
      <c r="G133" s="5" t="inlineStr">
        <is>
          <t>労働の権利</t>
        </is>
      </c>
      <c r="H133" s="5" t="n"/>
      <c r="I133" s="6">
        <f>IF(H133="","",IF(H133="B","〇","×"))</f>
        <v/>
      </c>
      <c r="J133" s="7" t="inlineStr">
        <is>
          <t>国際人権規約（市民的及び政治的権利に関する国際規約）第27条は、少数民族が自己の文化を享有し、宗教を信仰し、言語を使用する権利を保護しています。少数者の文化的・言語的権利の国際的根拠として重要です。
【他の選択肢】A：経済的権利は主にA規約（社会権規約）で扱われており、第27条の内容ではありません。C：教育の権利も別の条項（A規約第13条など）で規定されています。D：労働の権利もA規約で扱われる内容です。</t>
        </is>
      </c>
      <c r="K133" s="5" t="inlineStr">
        <is>
          <t>教程4</t>
        </is>
      </c>
    </row>
    <row r="134" ht="45" customHeight="1">
      <c r="A134" s="5" t="n">
        <v>133</v>
      </c>
      <c r="B134" s="5" t="inlineStr">
        <is>
          <t>★★</t>
        </is>
      </c>
      <c r="C134" s="5" t="inlineStr">
        <is>
          <t>各地域の文化が反映された英語のことを何と言うか。</t>
        </is>
      </c>
      <c r="D134" s="5" t="inlineStr">
        <is>
          <t>リンガ・フランカ</t>
        </is>
      </c>
      <c r="E134" s="5" t="inlineStr">
        <is>
          <t>新英語</t>
        </is>
      </c>
      <c r="F134" s="5" t="inlineStr">
        <is>
          <t>ピジン英語</t>
        </is>
      </c>
      <c r="G134" s="5" t="inlineStr">
        <is>
          <t>クレオール英語</t>
        </is>
      </c>
      <c r="H134" s="5" t="n"/>
      <c r="I134" s="6">
        <f>IF(H134="","",IF(H134="B","〇","×"))</f>
        <v/>
      </c>
      <c r="J134" s="7" t="inlineStr">
        <is>
          <t>各地域の文化が反映された英語のことを「新英語（New Englishes）」と言います。インド英語、シンガポール英語、フィリピン英語など、旧英国植民地で独自に発展した英語の変種を指します。
【他の選択肢】A：リンガ・フランカは異言語話者間の共通語の総称で、特定の地域的変種を指す概念ではありません。C：ピジン英語はピジン化した英語（簡略化された接触言語）で、完全な言語体系を持つ新英語とは異なります。D：クレオール英語はピジン英語が母語化したもので、新英語とは発展過程が異なります。</t>
        </is>
      </c>
      <c r="K134" s="5" t="inlineStr">
        <is>
          <t>教程4</t>
        </is>
      </c>
    </row>
    <row r="135" ht="45" customHeight="1">
      <c r="A135" s="8" t="n">
        <v>134</v>
      </c>
      <c r="B135" s="8" t="inlineStr">
        <is>
          <t>★★★</t>
        </is>
      </c>
      <c r="C135" s="8" t="inlineStr">
        <is>
          <t>難民審査参与員制度の導入年はいつか。</t>
        </is>
      </c>
      <c r="D135" s="8" t="inlineStr">
        <is>
          <t>1990年</t>
        </is>
      </c>
      <c r="E135" s="8" t="inlineStr">
        <is>
          <t>2001年</t>
        </is>
      </c>
      <c r="F135" s="8" t="inlineStr">
        <is>
          <t>2005年</t>
        </is>
      </c>
      <c r="G135" s="8" t="inlineStr">
        <is>
          <t>2010年</t>
        </is>
      </c>
      <c r="H135" s="8" t="n"/>
      <c r="I135" s="9">
        <f>IF(H135="","",IF(H135="C","〇","×"))</f>
        <v/>
      </c>
      <c r="J135" s="10" t="inlineStr">
        <is>
          <t>難民審査参与員制度は2005年に導入されました。難民認定の申請が不認定となった場合の不服申立てを審査するため、法務大臣が任命する民間の有識者（参与員）が審査に参加する制度です。
【他の選択肢】A：1990年は改正入管法施行（日系人への定住者資格付与）の年です。B：2001年はこの制度の導入年ではありません。D：2010年は在留資格「就学」と「留学」の統一年です。</t>
        </is>
      </c>
      <c r="K135" s="8" t="inlineStr">
        <is>
          <t>教程2</t>
        </is>
      </c>
    </row>
    <row r="136" ht="45" customHeight="1">
      <c r="A136" s="8" t="n">
        <v>135</v>
      </c>
      <c r="B136" s="8" t="inlineStr">
        <is>
          <t>★★★</t>
        </is>
      </c>
      <c r="C136" s="8" t="inlineStr">
        <is>
          <t>インドシナ難民受け入れ終了年はいつか。</t>
        </is>
      </c>
      <c r="D136" s="8" t="inlineStr">
        <is>
          <t>1990年</t>
        </is>
      </c>
      <c r="E136" s="8" t="inlineStr">
        <is>
          <t>2000年</t>
        </is>
      </c>
      <c r="F136" s="8" t="inlineStr">
        <is>
          <t>2005年</t>
        </is>
      </c>
      <c r="G136" s="8" t="inlineStr">
        <is>
          <t>2010年</t>
        </is>
      </c>
      <c r="H136" s="8" t="n"/>
      <c r="I136" s="9">
        <f>IF(H136="","",IF(H136="C","〇","×"))</f>
        <v/>
      </c>
      <c r="J136" s="10" t="inlineStr">
        <is>
          <t>インドシナ難民の受け入れは2005年に終了しました。1978年の受入れ開始から約27年間にわたり、ベトナム・カンボジア・ラオスからの難民を受け入れてきました。
【他の選択肢】A：1990年は受入れ終了年ではありません。B：2000年も受入れ終了年ではありません。D：2010年は第三国定住パイロット事業が始まった年です。</t>
        </is>
      </c>
      <c r="K136" s="8" t="inlineStr">
        <is>
          <t>教程2</t>
        </is>
      </c>
    </row>
    <row r="137" ht="45" customHeight="1">
      <c r="A137" s="8" t="n">
        <v>136</v>
      </c>
      <c r="B137" s="8" t="inlineStr">
        <is>
          <t>★★★</t>
        </is>
      </c>
      <c r="C137" s="8" t="inlineStr">
        <is>
          <t>RHQ支援センター開設年はいつか。</t>
        </is>
      </c>
      <c r="D137" s="8" t="inlineStr">
        <is>
          <t>2000年</t>
        </is>
      </c>
      <c r="E137" s="8" t="inlineStr">
        <is>
          <t>2005年</t>
        </is>
      </c>
      <c r="F137" s="8" t="inlineStr">
        <is>
          <t>2006年</t>
        </is>
      </c>
      <c r="G137" s="8" t="inlineStr">
        <is>
          <t>2010年</t>
        </is>
      </c>
      <c r="H137" s="8" t="n"/>
      <c r="I137" s="9">
        <f>IF(H137="","",IF(H137="C","〇","×"))</f>
        <v/>
      </c>
      <c r="J137" s="10" t="inlineStr">
        <is>
          <t>RHQ支援センター（難民事業本部の定住支援施設）は2006年に開設されました。条約難民や第三国定住難民に対して日本語教育や生活適応支援を行う施設です。
【他の選択肢】A：2000年は開設年ではありません。B：2005年はインドシナ難民受入れ終了年です。D：2010年は第三国定住パイロット事業開始年です。</t>
        </is>
      </c>
      <c r="K137" s="8" t="inlineStr">
        <is>
          <t>教程2</t>
        </is>
      </c>
    </row>
    <row r="138" ht="45" customHeight="1">
      <c r="A138" s="5" t="n">
        <v>137</v>
      </c>
      <c r="B138" s="5" t="inlineStr">
        <is>
          <t>★★</t>
        </is>
      </c>
      <c r="C138" s="5" t="inlineStr">
        <is>
          <t>ランド・ピープルとボート・ピープルに関連する難民はどれか。</t>
        </is>
      </c>
      <c r="D138" s="5" t="inlineStr">
        <is>
          <t>シリア難民</t>
        </is>
      </c>
      <c r="E138" s="5" t="inlineStr">
        <is>
          <t>インドシナ難民</t>
        </is>
      </c>
      <c r="F138" s="5" t="inlineStr">
        <is>
          <t>アフガニスタン難民</t>
        </is>
      </c>
      <c r="G138" s="5" t="inlineStr">
        <is>
          <t>ウクライナ難民</t>
        </is>
      </c>
      <c r="H138" s="5" t="n"/>
      <c r="I138" s="6">
        <f>IF(H138="","",IF(H138="B","〇","×"))</f>
        <v/>
      </c>
      <c r="J138" s="7" t="inlineStr">
        <is>
          <t>「ランド・ピープル（陸路難民）」と「ボート・ピープル（海路難民）」に関連するのはインドシナ難民です。1975年以降、ベトナムなどから陸路でタイ等に逃れた人々と、船で海上に脱出した人々がいました。
【他の選択肢】A：シリア難民は主に陸路で周辺国やヨーロッパに避難しており、「ボート・ピープル」の概念とは直接結びつきません。C：アフガニスタン難民も同様です。D：ウクライナ難民は2022年以降の避難民で、インドシナ難民とは時代・地域が異なります。</t>
        </is>
      </c>
      <c r="K138" s="5" t="inlineStr">
        <is>
          <t>教程2</t>
        </is>
      </c>
    </row>
    <row r="139" ht="45" customHeight="1">
      <c r="A139" s="8" t="n">
        <v>138</v>
      </c>
      <c r="B139" s="8" t="inlineStr">
        <is>
          <t>★★★</t>
        </is>
      </c>
      <c r="C139" s="8" t="inlineStr">
        <is>
          <t>特定技能の二国間取決め署名国に含まれないのはどれか。</t>
        </is>
      </c>
      <c r="D139" s="8" t="inlineStr">
        <is>
          <t>フィリピン</t>
        </is>
      </c>
      <c r="E139" s="8" t="inlineStr">
        <is>
          <t>ベトナム</t>
        </is>
      </c>
      <c r="F139" s="8" t="inlineStr">
        <is>
          <t>韓国</t>
        </is>
      </c>
      <c r="G139" s="8" t="inlineStr">
        <is>
          <t>インドネシア</t>
        </is>
      </c>
      <c r="H139" s="8" t="n"/>
      <c r="I139" s="9">
        <f>IF(H139="","",IF(H139="C","〇","×"))</f>
        <v/>
      </c>
      <c r="J139" s="10" t="inlineStr">
        <is>
          <t>特定技能の二国間取決め（MOC: Memorandum of Cooperation）の署名国に韓国は含まれていません。フィリピン、ベトナム、インドネシアなど主に東南アジア・南アジアの国々と締結されています。
【他の選択肢】A：フィリピンは二国間取決め署名国の一つです。B：ベトナムも署名国の一つで、特定技能の在留資格を持つ外国人の中で最も多い国籍です。D：インドネシアも署名国の一つです。</t>
        </is>
      </c>
      <c r="K139" s="8" t="inlineStr">
        <is>
          <t>教程2</t>
        </is>
      </c>
    </row>
    <row r="140" ht="45" customHeight="1">
      <c r="A140" s="8" t="n">
        <v>139</v>
      </c>
      <c r="B140" s="8" t="inlineStr">
        <is>
          <t>★★★</t>
        </is>
      </c>
      <c r="C140" s="8" t="inlineStr">
        <is>
          <t>2024年度追加の特定技能4分野に含まれるのはどれか。</t>
        </is>
      </c>
      <c r="D140" s="8" t="inlineStr">
        <is>
          <t>自動車運送業</t>
        </is>
      </c>
      <c r="E140" s="8" t="inlineStr">
        <is>
          <t>介護</t>
        </is>
      </c>
      <c r="F140" s="8" t="inlineStr">
        <is>
          <t>外食業</t>
        </is>
      </c>
      <c r="G140" s="8" t="inlineStr">
        <is>
          <t>農業</t>
        </is>
      </c>
      <c r="H140" s="8" t="n"/>
      <c r="I140" s="9">
        <f>IF(H140="","",IF(H140="A","〇","×"))</f>
        <v/>
      </c>
      <c r="J140" s="10" t="inlineStr">
        <is>
          <t>2024年度に追加された特定技能の4分野には「自動車運送業」「鉄道」「林業」「木材産業」が含まれます。これにより特定技能の対象分野は合計16分野に拡大しました。
【他の選択肢】B：介護は2019年の制度創設時からの既存分野です。C：外食業も2019年からの既存分野です。D：農業も2019年からの既存分野です。</t>
        </is>
      </c>
      <c r="K140" s="8" t="inlineStr">
        <is>
          <t>教程2</t>
        </is>
      </c>
    </row>
    <row r="141" ht="45" customHeight="1">
      <c r="A141" s="5" t="n">
        <v>140</v>
      </c>
      <c r="B141" s="5" t="inlineStr">
        <is>
          <t>★★</t>
        </is>
      </c>
      <c r="C141" s="5" t="inlineStr">
        <is>
          <t>「生活者としての外国人」の定義として正しいものはどれか。</t>
        </is>
      </c>
      <c r="D141" s="5" t="inlineStr">
        <is>
          <t>日本国籍を持つ外国出身者</t>
        </is>
      </c>
      <c r="E141" s="5" t="inlineStr">
        <is>
          <t>日常的な生活を営むすべての外国人</t>
        </is>
      </c>
      <c r="F141" s="5" t="inlineStr">
        <is>
          <t>留学生のみ</t>
        </is>
      </c>
      <c r="G141" s="5" t="inlineStr">
        <is>
          <t>就労ビザ保持者のみ</t>
        </is>
      </c>
      <c r="H141" s="5" t="n"/>
      <c r="I141" s="6">
        <f>IF(H141="","",IF(H141="B","〇","×"))</f>
        <v/>
      </c>
      <c r="J141" s="7" t="inlineStr">
        <is>
          <t>「生活者としての外国人」とは、日本で日常的な生活を営むすべての外国人を指します。留学生、就労者、家族滞在者など在留資格に関わらず、日本社会で生活するすべての外国人が対象です。
【他の選択肢】A：日本国籍を持つ外国出身者は帰化した日本人であり、「外国人」の定義には含まれません。C：留学生のみに限定するものではありません。D：就労ビザ保持者のみでもなく、家族滞在や定住者なども含む広い概念です。</t>
        </is>
      </c>
      <c r="K141" s="5" t="inlineStr">
        <is>
          <t>教程2</t>
        </is>
      </c>
    </row>
    <row r="142" ht="45" customHeight="1">
      <c r="A142" s="2" t="n">
        <v>141</v>
      </c>
      <c r="B142" s="2" t="inlineStr">
        <is>
          <t>★</t>
        </is>
      </c>
      <c r="C142" s="2" t="inlineStr">
        <is>
          <t>夜間中学とはどのような学校か。</t>
        </is>
      </c>
      <c r="D142" s="2" t="inlineStr">
        <is>
          <t>私立の学習塾</t>
        </is>
      </c>
      <c r="E142" s="2" t="inlineStr">
        <is>
          <t>公立中学校で夜間に授業を行うもの</t>
        </is>
      </c>
      <c r="F142" s="2" t="inlineStr">
        <is>
          <t>フリースクール</t>
        </is>
      </c>
      <c r="G142" s="2" t="inlineStr">
        <is>
          <t>外国人専用学校</t>
        </is>
      </c>
      <c r="H142" s="2" t="n"/>
      <c r="I142" s="3">
        <f>IF(H142="","",IF(H142="B","〇","×"))</f>
        <v/>
      </c>
      <c r="J142" s="4" t="inlineStr">
        <is>
          <t>夜間中学とは、公立中学校で夜間の時間帯に授業を行う課程（夜間学級）のことです。義務教育を修了できなかった人や、外国籍の人など、学び直しの場として重要な役割を果たしています。
【他の選択肢】A：夜間中学は私立の学習塾ではなく、公立中学校に設置される正規の教育課程です。C：フリースクールは民間の教育施設で、夜間中学とは別のものです。D：外国人専用学校ではなく、日本人・外国人を問わず入学できます。</t>
        </is>
      </c>
      <c r="K142" s="2" t="inlineStr">
        <is>
          <t>教程2</t>
        </is>
      </c>
    </row>
    <row r="143" ht="45" customHeight="1">
      <c r="A143" s="5" t="n">
        <v>142</v>
      </c>
      <c r="B143" s="5" t="inlineStr">
        <is>
          <t>★★</t>
        </is>
      </c>
      <c r="C143" s="5" t="inlineStr">
        <is>
          <t>多文化共生推進プランを策定した省庁はどこか。</t>
        </is>
      </c>
      <c r="D143" s="5" t="inlineStr">
        <is>
          <t>文部科学省</t>
        </is>
      </c>
      <c r="E143" s="5" t="inlineStr">
        <is>
          <t>外務省</t>
        </is>
      </c>
      <c r="F143" s="5" t="inlineStr">
        <is>
          <t>総務省</t>
        </is>
      </c>
      <c r="G143" s="5" t="inlineStr">
        <is>
          <t>厚生労働省</t>
        </is>
      </c>
      <c r="H143" s="5" t="n"/>
      <c r="I143" s="6">
        <f>IF(H143="","",IF(H143="C","〇","×"))</f>
        <v/>
      </c>
      <c r="J143" s="7" t="inlineStr">
        <is>
          <t>多文化共生推進プランを策定したのは総務省です。2006年に初めて策定され、2020年に改訂されました。地方自治体における多文化共生施策の指針を示しています。
【他の選択肢】A：文部科学省は教育行政を担当しますが、多文化共生推進プランの策定は総務省です。B：外務省は外交を担当する省庁です。D：厚生労働省は医療・福祉・労働を担当する省庁です。</t>
        </is>
      </c>
      <c r="K143" s="5" t="inlineStr">
        <is>
          <t>教程2</t>
        </is>
      </c>
    </row>
    <row r="144" ht="45" customHeight="1">
      <c r="A144" s="5" t="n">
        <v>143</v>
      </c>
      <c r="B144" s="5" t="inlineStr">
        <is>
          <t>★★</t>
        </is>
      </c>
      <c r="C144" s="5" t="inlineStr">
        <is>
          <t>構成主義のコミュニケーションモデルの特徴はどれか。</t>
        </is>
      </c>
      <c r="D144" s="5" t="inlineStr">
        <is>
          <t>直線的に伝達する</t>
        </is>
      </c>
      <c r="E144" s="5" t="inlineStr">
        <is>
          <t>相互的に意味を作り出す</t>
        </is>
      </c>
      <c r="F144" s="5" t="inlineStr">
        <is>
          <t>送り手のみが重要</t>
        </is>
      </c>
      <c r="G144" s="5" t="inlineStr">
        <is>
          <t>一方向的</t>
        </is>
      </c>
      <c r="H144" s="5" t="n"/>
      <c r="I144" s="6">
        <f>IF(H144="","",IF(H144="B","〇","×"))</f>
        <v/>
      </c>
      <c r="J144" s="7" t="inlineStr">
        <is>
          <t>構成主義（社会構成主義）のコミュニケーションモデルは、コミュニケーションを「相互的に意味を作り出すプロセス」として捉えます。送り手と受け手が共同で意味を構築するという考え方で、シャノン＆ウィーバーの直線的モデルとは対照的です。
【他の選択肢】A：「直線的に伝達する」はシャノン＆ウィーバーの伝達モデルの特徴であり、構成主義モデルとは異なります。C：「送り手のみが重要」も伝達モデル的な考え方で、構成主義では送り手と受け手の両方（すべての参加者）が重要です。D：「一方向的」も伝達モデルの特徴であり、構成主義は「双方向的・相互的」です。</t>
        </is>
      </c>
      <c r="K144" s="5" t="inlineStr">
        <is>
          <t>教程5</t>
        </is>
      </c>
    </row>
    <row r="145" ht="45" customHeight="1">
      <c r="A145" s="8" t="n">
        <v>144</v>
      </c>
      <c r="B145" s="8" t="inlineStr">
        <is>
          <t>★★★</t>
        </is>
      </c>
      <c r="C145" s="8" t="inlineStr">
        <is>
          <t>JFスタンダードの木の根の3つの言語能力はどれか。</t>
        </is>
      </c>
      <c r="D145" s="8" t="inlineStr">
        <is>
          <t>聞く・話す・書く</t>
        </is>
      </c>
      <c r="E145" s="8" t="inlineStr">
        <is>
          <t>言語構造的能力・社会言語能力・語用能力</t>
        </is>
      </c>
      <c r="F145" s="8" t="inlineStr">
        <is>
          <t>受容・産出・やりとり</t>
        </is>
      </c>
      <c r="G145" s="8" t="inlineStr">
        <is>
          <t>文法・語彙・発音</t>
        </is>
      </c>
      <c r="H145" s="8" t="n"/>
      <c r="I145" s="9">
        <f>IF(H145="","",IF(H145="B","〇","×"))</f>
        <v/>
      </c>
      <c r="J145" s="10" t="inlineStr">
        <is>
          <t>JFスタンダードの木の「根」にあたる3つの言語能力は「言語構造的能力」「社会言語能力」「語用能力」です。これらはCEFRの一般的言語能力に基づいています。
【他の選択肢】A：「聞く・話す・書く」は言語技能の一部であり、木の根の分類ではありません。C：「受容・産出・やりとり」は木の「枝」であり、「根」ではありません。D：「文法・語彙・発音」は言語構造的能力の下位要素であり、3つの言語能力そのものではありません。</t>
        </is>
      </c>
      <c r="K145" s="8" t="inlineStr">
        <is>
          <t>教程5</t>
        </is>
      </c>
    </row>
    <row r="146" ht="45" customHeight="1">
      <c r="A146" s="2" t="n">
        <v>145</v>
      </c>
      <c r="B146" s="2" t="inlineStr">
        <is>
          <t>★</t>
        </is>
      </c>
      <c r="C146" s="2" t="inlineStr">
        <is>
          <t>CEFRのA1・A2は何と呼ばれるか。</t>
        </is>
      </c>
      <c r="D146" s="2" t="inlineStr">
        <is>
          <t>自立した言語使用者</t>
        </is>
      </c>
      <c r="E146" s="2" t="inlineStr">
        <is>
          <t>基礎段階の言語使用者</t>
        </is>
      </c>
      <c r="F146" s="2" t="inlineStr">
        <is>
          <t>熟達した言語使用者</t>
        </is>
      </c>
      <c r="G146" s="2" t="inlineStr">
        <is>
          <t>上級言語使用者</t>
        </is>
      </c>
      <c r="H146" s="2" t="n"/>
      <c r="I146" s="3">
        <f>IF(H146="","",IF(H146="B","〇","×"))</f>
        <v/>
      </c>
      <c r="J146" s="4" t="inlineStr">
        <is>
          <t>CEFRのA1・A2は「基礎段階の言語使用者（Basic User）」と呼ばれます。A1は最も初歩的なレベルで、A2はやや進んだ基礎段階です。日常の簡単なやりとりができるレベルに相当します。
【他の選択肢】A：「自立した言語使用者（Independent User）」はB1・B2のレベルです。C：「熟達した言語使用者（Proficient User）」はC1・C2のレベルです。D：「上級言語使用者」という名称はCEFRでは使われていません。</t>
        </is>
      </c>
      <c r="K146" s="2" t="inlineStr">
        <is>
          <t>教程5</t>
        </is>
      </c>
    </row>
    <row r="147" ht="45" customHeight="1">
      <c r="A147" s="2" t="n">
        <v>146</v>
      </c>
      <c r="B147" s="2" t="inlineStr">
        <is>
          <t>★</t>
        </is>
      </c>
      <c r="C147" s="2" t="inlineStr">
        <is>
          <t>CEFRのC1・C2は何と呼ばれるか。</t>
        </is>
      </c>
      <c r="D147" s="2" t="inlineStr">
        <is>
          <t>基礎段階</t>
        </is>
      </c>
      <c r="E147" s="2" t="inlineStr">
        <is>
          <t>自立した言語使用者</t>
        </is>
      </c>
      <c r="F147" s="2" t="inlineStr">
        <is>
          <t>熟達した言語使用者</t>
        </is>
      </c>
      <c r="G147" s="2" t="inlineStr">
        <is>
          <t>中級</t>
        </is>
      </c>
      <c r="H147" s="2" t="n"/>
      <c r="I147" s="3">
        <f>IF(H147="","",IF(H147="C","〇","×"))</f>
        <v/>
      </c>
      <c r="J147" s="4" t="inlineStr">
        <is>
          <t>CEFRのC1・C2は「熟達した言語使用者（Proficient User）」と呼ばれます。C1は上級レベルで複雑なテキストの理解と流暢なコミュニケーションが可能、C2は母語話者に近い言語運用能力を持つレベルです。
【他の選択肢】A：「基礎段階」はA1・A2のレベルです。B：「自立した言語使用者」はB1・B2のレベルです。D：「中級」はCEFRの正式な呼称ではありません。</t>
        </is>
      </c>
      <c r="K147" s="2" t="inlineStr">
        <is>
          <t>教程5</t>
        </is>
      </c>
    </row>
    <row r="148" ht="45" customHeight="1">
      <c r="A148" s="2" t="n">
        <v>147</v>
      </c>
      <c r="B148" s="2" t="inlineStr">
        <is>
          <t>★</t>
        </is>
      </c>
      <c r="C148" s="2" t="inlineStr">
        <is>
          <t>「援助要求」の例はどれか。</t>
        </is>
      </c>
      <c r="D148" s="2" t="inlineStr">
        <is>
          <t>話題を避ける</t>
        </is>
      </c>
      <c r="E148" s="2" t="inlineStr">
        <is>
          <t>別の言い方にする</t>
        </is>
      </c>
      <c r="F148" s="2" t="inlineStr">
        <is>
          <t>相手に「何と言うのですか」と聞く</t>
        </is>
      </c>
      <c r="G148" s="2" t="inlineStr">
        <is>
          <t>ジェスチャーで示す</t>
        </is>
      </c>
      <c r="H148" s="2" t="n"/>
      <c r="I148" s="3">
        <f>IF(H148="","",IF(H148="C","〇","×"))</f>
        <v/>
      </c>
      <c r="J148" s="4" t="inlineStr">
        <is>
          <t>「援助要求」の例は「何と言うのですか」と相手に聞くことです。コミュニケーション中に適切な語彙や表現が分からない時に、相手に助けを求めるストラテジーです。
【他の選択肢】A：話題を避けるのは「回避」ストラテジーです。B：別の言い方にするのは「言い換え（パラフレーズ）」ストラテジーです。D：ジェスチャーで示すのは「非言語ストラテジー（身体表現）」に分類されます。</t>
        </is>
      </c>
      <c r="K148" s="2" t="inlineStr">
        <is>
          <t>教程5</t>
        </is>
      </c>
    </row>
    <row r="149" ht="45" customHeight="1">
      <c r="A149" s="5" t="n">
        <v>148</v>
      </c>
      <c r="B149" s="5" t="inlineStr">
        <is>
          <t>★★</t>
        </is>
      </c>
      <c r="C149" s="5" t="inlineStr">
        <is>
          <t>談話能力とはどのような能力か。</t>
        </is>
      </c>
      <c r="D149" s="5" t="inlineStr">
        <is>
          <t>正確な文法力</t>
        </is>
      </c>
      <c r="E149" s="5" t="inlineStr">
        <is>
          <t>場面に応じた表現力</t>
        </is>
      </c>
      <c r="F149" s="5" t="inlineStr">
        <is>
          <t>一貫した談話を構築する能力</t>
        </is>
      </c>
      <c r="G149" s="5" t="inlineStr">
        <is>
          <t>問題解決能力</t>
        </is>
      </c>
      <c r="H149" s="5" t="n"/>
      <c r="I149" s="6">
        <f>IF(H149="","",IF(H149="C","〇","×"))</f>
        <v/>
      </c>
      <c r="J149" s="7" t="inlineStr">
        <is>
          <t>談話能力とは、文と文をつないで一貫性のある談話（テキスト）を構築する能力です。接続詞の適切な使用、段落構成、話題展開の論理性などが含まれます。カナルの伝達能力4構成要素の一つです。
【他の選択肢】A：正確な文法力は「文法能力」に該当し、談話能力とは異なります。B：場面に応じた表現力は「社会言語学的能力」です。D：問題解決能力は「ストラテジー能力」に近い概念です。</t>
        </is>
      </c>
      <c r="K149" s="5" t="inlineStr">
        <is>
          <t>教程5</t>
        </is>
      </c>
    </row>
    <row r="150" ht="45" customHeight="1">
      <c r="A150" s="5" t="n">
        <v>149</v>
      </c>
      <c r="B150" s="5" t="inlineStr">
        <is>
          <t>★★</t>
        </is>
      </c>
      <c r="C150" s="5" t="inlineStr">
        <is>
          <t>言語保障とは何か。</t>
        </is>
      </c>
      <c r="D150" s="5" t="inlineStr">
        <is>
          <t>言語を自由に使う権利</t>
        </is>
      </c>
      <c r="E150" s="5" t="inlineStr">
        <is>
          <t>言語に関する権利を保障すること</t>
        </is>
      </c>
      <c r="F150" s="5" t="inlineStr">
        <is>
          <t>外国語教育の義務化</t>
        </is>
      </c>
      <c r="G150" s="5" t="inlineStr">
        <is>
          <t>翻訳サービス</t>
        </is>
      </c>
      <c r="H150" s="5" t="n"/>
      <c r="I150" s="6">
        <f>IF(H150="","",IF(H150="B","〇","×"))</f>
        <v/>
      </c>
      <c r="J150" s="7" t="inlineStr">
        <is>
          <t>言語保障とは、言語に関する権利（言語権）を社会的・制度的に保障することです。多言語での行政サービス、通訳・翻訳の提供、やさしい日本語での情報発信などの取り組みが含まれます。
【他の選択肢】A：「言語を自由に使う権利」は「言語権」そのものであり、言語保障は権利を保障するための取り組みです。C：外国語教育の義務化は教育政策の一部であり、言語保障の概念全体を指すものではありません。D：翻訳サービスは言語保障の一手段ですが、言語保障はそれよりも広い概念です。</t>
        </is>
      </c>
      <c r="K150" s="5" t="inlineStr">
        <is>
          <t>教程6</t>
        </is>
      </c>
    </row>
    <row r="151" ht="45" customHeight="1">
      <c r="A151" s="2" t="n">
        <v>150</v>
      </c>
      <c r="B151" s="2" t="inlineStr">
        <is>
          <t>★</t>
        </is>
      </c>
      <c r="C151" s="2" t="inlineStr">
        <is>
          <t>民族語とは何か。</t>
        </is>
      </c>
      <c r="D151" s="2" t="inlineStr">
        <is>
          <t>公用語</t>
        </is>
      </c>
      <c r="E151" s="2" t="inlineStr">
        <is>
          <t>国際共通語</t>
        </is>
      </c>
      <c r="F151" s="2" t="inlineStr">
        <is>
          <t>少数者言語</t>
        </is>
      </c>
      <c r="G151" s="2" t="inlineStr">
        <is>
          <t>方言の別名</t>
        </is>
      </c>
      <c r="H151" s="2" t="n"/>
      <c r="I151" s="3">
        <f>IF(H151="","",IF(H151="C","〇","×"))</f>
        <v/>
      </c>
      <c r="J151" s="4" t="inlineStr">
        <is>
          <t>民族語とは、特定の民族集団が話す言語（少数者言語）のことです。国家の公用語とは異なり、少数民族が伝統的に使用してきた言語を指します。日本ではアイヌ語が代表例です。
【他の選択肢】A：公用語は国家や地域が公式に定めた言語であり、民族語とは異なる概念です。B：国際共通語（リンガ・フランカ）は異言語話者間で使われる共通語です。D：方言は同一言語内の地域的変種であり、異なる言語である民族語とは区別されます。</t>
        </is>
      </c>
      <c r="K151" s="2" t="inlineStr">
        <is>
          <t>教程6</t>
        </is>
      </c>
    </row>
    <row r="152" ht="45" customHeight="1">
      <c r="A152" s="8" t="n">
        <v>151</v>
      </c>
      <c r="B152" s="8" t="inlineStr">
        <is>
          <t>★★★</t>
        </is>
      </c>
      <c r="C152" s="8" t="inlineStr">
        <is>
          <t>外国人集住都市会議設立時の自治体数はいくつか。</t>
        </is>
      </c>
      <c r="D152" s="8" t="inlineStr">
        <is>
          <t>8</t>
        </is>
      </c>
      <c r="E152" s="8" t="inlineStr">
        <is>
          <t>11</t>
        </is>
      </c>
      <c r="F152" s="8" t="inlineStr">
        <is>
          <t>13</t>
        </is>
      </c>
      <c r="G152" s="8" t="inlineStr">
        <is>
          <t>15</t>
        </is>
      </c>
      <c r="H152" s="8" t="n"/>
      <c r="I152" s="9">
        <f>IF(H152="","",IF(H152="C","〇","×"))</f>
        <v/>
      </c>
      <c r="J152" s="10" t="inlineStr">
        <is>
          <t>外国人集住都市会議は2001年の設立時に13の自治体が参加しました。日系ブラジル人等が多く居住する東海・関東地方の市町を中心に構成されました。
【他の選択肢】A：8自治体は正しい数ではありません。B：11自治体も正しくありません。D：15自治体でもなく、設立時は13自治体です。</t>
        </is>
      </c>
      <c r="K152" s="8" t="inlineStr">
        <is>
          <t>教程6</t>
        </is>
      </c>
    </row>
    <row r="153" ht="45" customHeight="1">
      <c r="A153" s="5" t="n">
        <v>152</v>
      </c>
      <c r="B153" s="5" t="inlineStr">
        <is>
          <t>★★</t>
        </is>
      </c>
      <c r="C153" s="5" t="inlineStr">
        <is>
          <t>阪神・淡路大震災で外国人の死傷者率は日本人の約何倍だったか。</t>
        </is>
      </c>
      <c r="D153" s="5" t="inlineStr">
        <is>
          <t>同じ</t>
        </is>
      </c>
      <c r="E153" s="5" t="inlineStr">
        <is>
          <t>低かった</t>
        </is>
      </c>
      <c r="F153" s="5" t="inlineStr">
        <is>
          <t>2倍以上</t>
        </is>
      </c>
      <c r="G153" s="5" t="inlineStr">
        <is>
          <t>半分</t>
        </is>
      </c>
      <c r="H153" s="5" t="n"/>
      <c r="I153" s="6">
        <f>IF(H153="","",IF(H153="C","〇","×"))</f>
        <v/>
      </c>
      <c r="J153" s="7" t="inlineStr">
        <is>
          <t>1995年の阪神・淡路大震災では、外国人の死傷者率は日本人の約2倍以上でした。言語の壁により避難情報が届かなかったことが主な原因とされ、やさしい日本語の取組が始まるきっかけとなりました。
【他の選択肢】A：外国人と日本人の死傷者率は同じではなく、外国人の方が高かったです。B：外国人の死傷者率は日本人より低かったのではなく、むしろ高かったです。D：半分でもなく、約2倍以上でした。</t>
        </is>
      </c>
      <c r="K153" s="5" t="inlineStr">
        <is>
          <t>教程6</t>
        </is>
      </c>
    </row>
    <row r="154" ht="45" customHeight="1">
      <c r="A154" s="5" t="n">
        <v>153</v>
      </c>
      <c r="B154" s="5" t="inlineStr">
        <is>
          <t>★★</t>
        </is>
      </c>
      <c r="C154" s="5" t="inlineStr">
        <is>
          <t>EPA看護師候補者の最大滞在期間は何年か。</t>
        </is>
      </c>
      <c r="D154" s="5" t="inlineStr">
        <is>
          <t>2年</t>
        </is>
      </c>
      <c r="E154" s="5" t="inlineStr">
        <is>
          <t>3年</t>
        </is>
      </c>
      <c r="F154" s="5" t="inlineStr">
        <is>
          <t>4年</t>
        </is>
      </c>
      <c r="G154" s="5" t="inlineStr">
        <is>
          <t>5年</t>
        </is>
      </c>
      <c r="H154" s="5" t="n"/>
      <c r="I154" s="6">
        <f>IF(H154="","",IF(H154="B","〇","×"))</f>
        <v/>
      </c>
      <c r="J154" s="7" t="inlineStr">
        <is>
          <t>EPA看護師候補者の日本での最大滞在期間は3年です。この間に日本の看護師国家試験に合格しなければ帰国しなければなりません。一方、介護福祉士候補者は4年です。
【他の選択肢】A：2年では受験機会が少なすぎます。D：5年は特定技能1号の在留上限であり、EPA看護師候補者の滞在期間ではありません。C：4年はEPA介護福祉士候補者の最大滞在期間です。</t>
        </is>
      </c>
      <c r="K154" s="5" t="inlineStr">
        <is>
          <t>教程6</t>
        </is>
      </c>
    </row>
    <row r="155" ht="45" customHeight="1">
      <c r="A155" s="5" t="n">
        <v>154</v>
      </c>
      <c r="B155" s="5" t="inlineStr">
        <is>
          <t>★★</t>
        </is>
      </c>
      <c r="C155" s="5" t="inlineStr">
        <is>
          <t>EPA介護福祉士候補者の最大滞在期間は何年か。</t>
        </is>
      </c>
      <c r="D155" s="5" t="inlineStr">
        <is>
          <t>2年</t>
        </is>
      </c>
      <c r="E155" s="5" t="inlineStr">
        <is>
          <t>3年</t>
        </is>
      </c>
      <c r="F155" s="5" t="inlineStr">
        <is>
          <t>4年</t>
        </is>
      </c>
      <c r="G155" s="5" t="inlineStr">
        <is>
          <t>5年</t>
        </is>
      </c>
      <c r="H155" s="5" t="n"/>
      <c r="I155" s="6">
        <f>IF(H155="","",IF(H155="C","〇","×"))</f>
        <v/>
      </c>
      <c r="J155" s="7" t="inlineStr">
        <is>
          <t>EPA介護福祉士候補者の日本での最大滞在期間は4年です。この間に介護福祉士国家試験に合格する必要があります。看護師候補者の3年より1年長いのは、介護福祉士の受験資格に3年の実務経験が必要だからです。
【他の選択肢】A：2年では実務経験が不足し受験資格を得られません。D：5年は特定技能1号の上限であり、EPA介護福祉士候補者の滞在期間ではありません。B：3年はEPA看護師候補者の最大滞在期間です。</t>
        </is>
      </c>
      <c r="K155" s="5" t="inlineStr">
        <is>
          <t>教程6</t>
        </is>
      </c>
    </row>
    <row r="156" ht="45" customHeight="1">
      <c r="A156" s="5" t="n">
        <v>155</v>
      </c>
      <c r="B156" s="5" t="inlineStr">
        <is>
          <t>★★</t>
        </is>
      </c>
      <c r="C156" s="5" t="inlineStr">
        <is>
          <t>技能実習法で禁止されているのは何か。</t>
        </is>
      </c>
      <c r="D156" s="5" t="inlineStr">
        <is>
          <t>技能移転</t>
        </is>
      </c>
      <c r="E156" s="5" t="inlineStr">
        <is>
          <t>労働力調整の手段としての実施</t>
        </is>
      </c>
      <c r="F156" s="5" t="inlineStr">
        <is>
          <t>途上国協力</t>
        </is>
      </c>
      <c r="G156" s="5" t="inlineStr">
        <is>
          <t>技術移転</t>
        </is>
      </c>
      <c r="H156" s="5" t="n"/>
      <c r="I156" s="6">
        <f>IF(H156="","",IF(H156="B","〇","×"))</f>
        <v/>
      </c>
      <c r="J156" s="7" t="inlineStr">
        <is>
          <t>技能実習法（2017年施行）では、技能実習制度を「労働力の需給の調整の手段として行われてはならない」と明記しています。あくまで「技能等の移転」による国際貢献が目的であるとされています。
【他の選択肢】A：技能移転は技能実習制度の本来の目的であり、禁止されていません。C：途上国への協力（国際貢献）も制度の目的であり、禁止事項ではありません。D：技術移転も禁止されていません。禁止されているのは「労働力調整の手段としての実施」です。</t>
        </is>
      </c>
      <c r="K156" s="5" t="inlineStr">
        <is>
          <t>教程6</t>
        </is>
      </c>
    </row>
    <row r="157" ht="45" customHeight="1">
      <c r="A157" s="8" t="n">
        <v>156</v>
      </c>
      <c r="B157" s="8" t="inlineStr">
        <is>
          <t>★★★</t>
        </is>
      </c>
      <c r="C157" s="8" t="inlineStr">
        <is>
          <t>アジア人財資金構想の実施期間はいつか。</t>
        </is>
      </c>
      <c r="D157" s="8" t="inlineStr">
        <is>
          <t>2000〜2005年</t>
        </is>
      </c>
      <c r="E157" s="8" t="inlineStr">
        <is>
          <t>2007〜2012年</t>
        </is>
      </c>
      <c r="F157" s="8" t="inlineStr">
        <is>
          <t>2010〜2015年</t>
        </is>
      </c>
      <c r="G157" s="8" t="inlineStr">
        <is>
          <t>2015〜2020年</t>
        </is>
      </c>
      <c r="H157" s="8" t="n"/>
      <c r="I157" s="9">
        <f>IF(H157="","",IF(H157="B","〇","×"))</f>
        <v/>
      </c>
      <c r="J157" s="10" t="inlineStr">
        <is>
          <t>アジア人財資金構想は2007年から2012年にかけて実施された経済産業省の事業です。アジアの優秀な留学生を日本企業に就職させることを目的に、産学連携で日本語教育やビジネス教育を行いました。
【他の選択肢】A：2000〜2005年は実施期間ではありません。C：2010〜2015年でもありません。D：2015〜2020年でもありません。正確な実施期間は2007〜2012年です。</t>
        </is>
      </c>
      <c r="K157" s="8" t="inlineStr">
        <is>
          <t>教程6</t>
        </is>
      </c>
    </row>
    <row r="158" ht="45" customHeight="1">
      <c r="A158" s="5" t="n">
        <v>157</v>
      </c>
      <c r="B158" s="5" t="inlineStr">
        <is>
          <t>★★</t>
        </is>
      </c>
      <c r="C158" s="5" t="inlineStr">
        <is>
          <t>やさしい日本語が平時へ広がったのは何年代か。</t>
        </is>
      </c>
      <c r="D158" s="5" t="inlineStr">
        <is>
          <t>1990年代</t>
        </is>
      </c>
      <c r="E158" s="5" t="inlineStr">
        <is>
          <t>2000年代</t>
        </is>
      </c>
      <c r="F158" s="5" t="inlineStr">
        <is>
          <t>2010年代</t>
        </is>
      </c>
      <c r="G158" s="5" t="inlineStr">
        <is>
          <t>2020年代</t>
        </is>
      </c>
      <c r="H158" s="5" t="n"/>
      <c r="I158" s="6">
        <f>IF(H158="","",IF(H158="B","〇","×"))</f>
        <v/>
      </c>
      <c r="J158" s="7" t="inlineStr">
        <is>
          <t>やさしい日本語が災害時の対応から平時（日常生活）へ広がったのは2000年代です。弘前大学の研究を契機に、行政文書や生活情報にも「やさしい日本語」が活用されるようになりました。
【他の選択肢】A：1990年代は阪神・淡路大震災（1995年）を受けた研究開始の時期であり、平時への本格的な広がりは2000年代です。C：2010年代には既にかなり普及しており、広がり始めた時期とは言えません。D：2020年代も同様に、広がり始めた時期ではありません。</t>
        </is>
      </c>
      <c r="K158" s="5" t="inlineStr">
        <is>
          <t>教程6</t>
        </is>
      </c>
    </row>
    <row r="159" ht="45" customHeight="1">
      <c r="A159" s="5" t="n">
        <v>158</v>
      </c>
      <c r="B159" s="5" t="inlineStr">
        <is>
          <t>★★</t>
        </is>
      </c>
      <c r="C159" s="5" t="inlineStr">
        <is>
          <t>1997年のアイヌ関連法の通称は何か。</t>
        </is>
      </c>
      <c r="D159" s="5" t="inlineStr">
        <is>
          <t>アイヌ施策推進法</t>
        </is>
      </c>
      <c r="E159" s="5" t="inlineStr">
        <is>
          <t>アイヌ文化振興法</t>
        </is>
      </c>
      <c r="F159" s="5" t="inlineStr">
        <is>
          <t>先住民族基本法</t>
        </is>
      </c>
      <c r="G159" s="5" t="inlineStr">
        <is>
          <t>民族共生法</t>
        </is>
      </c>
      <c r="H159" s="5" t="n"/>
      <c r="I159" s="6">
        <f>IF(H159="","",IF(H159="B","〇","×"))</f>
        <v/>
      </c>
      <c r="J159" s="7" t="inlineStr">
        <is>
          <t>1997年に制定されたアイヌ関連法は「アイヌ文化振興法」（正式名称：アイヌ文化の振興並びにアイヌの伝統等に関する知識の普及及び啓発に関する法律）です。2019年のアイヌ施策推進法の施行により廃止されました。
【他の選択肢】A：アイヌ施策推進法は2019年の法律であり、1997年の法律ではありません。C：「先住民族基本法」という名称の法律は日本には存在しません。D：「民族共生法」という名称の法律も存在しません。</t>
        </is>
      </c>
      <c r="K159" s="5" t="inlineStr">
        <is>
          <t>教程7</t>
        </is>
      </c>
    </row>
    <row r="160" ht="45" customHeight="1">
      <c r="A160" s="2" t="n">
        <v>159</v>
      </c>
      <c r="B160" s="2" t="inlineStr">
        <is>
          <t>★</t>
        </is>
      </c>
      <c r="C160" s="2" t="inlineStr">
        <is>
          <t>シングリッシュとは何か。</t>
        </is>
      </c>
      <c r="D160" s="2" t="inlineStr">
        <is>
          <t>標準イギリス英語</t>
        </is>
      </c>
      <c r="E160" s="2" t="inlineStr">
        <is>
          <t>シンガポールの混合英語</t>
        </is>
      </c>
      <c r="F160" s="2" t="inlineStr">
        <is>
          <t>インド英語</t>
        </is>
      </c>
      <c r="G160" s="2" t="inlineStr">
        <is>
          <t>オーストラリア英語</t>
        </is>
      </c>
      <c r="H160" s="2" t="n"/>
      <c r="I160" s="3">
        <f>IF(H160="","",IF(H160="B","〇","×"))</f>
        <v/>
      </c>
      <c r="J160" s="4" t="inlineStr">
        <is>
          <t>シングリッシュ（Singlish）とは、シンガポールで話されている英語の混合変種です。英語をベースに、中国語（福建語・広東語・北京語）、マレー語、タミル語などの影響を受けた独特の語彙・文法・発音を持っています。
【他の選択肢】A：標準イギリス英語はイギリスの標準英語であり、シングリッシュとは異なります。C：インド英語はインドの英語変種で、シングリッシュとは別のものです。D：オーストラリア英語もシングリッシュとは異なる変種です。</t>
        </is>
      </c>
      <c r="K160" s="2" t="inlineStr">
        <is>
          <t>教程7</t>
        </is>
      </c>
    </row>
    <row r="161" ht="45" customHeight="1">
      <c r="A161" s="8" t="n">
        <v>160</v>
      </c>
      <c r="B161" s="8" t="inlineStr">
        <is>
          <t>★★★</t>
        </is>
      </c>
      <c r="C161" s="8" t="inlineStr">
        <is>
          <t>韓国で1970年の漢字全廃はどのような措置か。</t>
        </is>
      </c>
      <c r="D161" s="8" t="inlineStr">
        <is>
          <t>国会決議</t>
        </is>
      </c>
      <c r="E161" s="8" t="inlineStr">
        <is>
          <t>大統領令</t>
        </is>
      </c>
      <c r="F161" s="8" t="inlineStr">
        <is>
          <t>総理大臣訓令</t>
        </is>
      </c>
      <c r="G161" s="8" t="inlineStr">
        <is>
          <t>教育省通達</t>
        </is>
      </c>
      <c r="H161" s="8" t="n"/>
      <c r="I161" s="9">
        <f>IF(H161="","",IF(H161="C","〇","×"))</f>
        <v/>
      </c>
      <c r="J161" s="10" t="inlineStr">
        <is>
          <t>韓国で1970年に実施された漢字全廃の措置は「総理大臣訓令」によるものです。朴正煕大統領政権下で、公文書からのハングル専用化が推進されました。
【他の選択肢】A：国会決議ではなく総理大臣訓令です。B：大統領令でもありません。D：教育省通達でもなく、総理大臣訓令が正しい措置の形態です。</t>
        </is>
      </c>
      <c r="K161" s="8" t="inlineStr">
        <is>
          <t>教程7</t>
        </is>
      </c>
    </row>
    <row r="162" ht="45" customHeight="1">
      <c r="A162" s="8" t="n">
        <v>161</v>
      </c>
      <c r="B162" s="8" t="inlineStr">
        <is>
          <t>★★★</t>
        </is>
      </c>
      <c r="C162" s="8" t="inlineStr">
        <is>
          <t>韓国で漢字復活を宣言した大統領は誰か。</t>
        </is>
      </c>
      <c r="D162" s="8" t="inlineStr">
        <is>
          <t>朴正煕</t>
        </is>
      </c>
      <c r="E162" s="8" t="inlineStr">
        <is>
          <t>金大中</t>
        </is>
      </c>
      <c r="F162" s="8" t="inlineStr">
        <is>
          <t>盧武鉉</t>
        </is>
      </c>
      <c r="G162" s="8" t="inlineStr">
        <is>
          <t>李明博</t>
        </is>
      </c>
      <c r="H162" s="8" t="n"/>
      <c r="I162" s="9">
        <f>IF(H162="","",IF(H162="B","〇","×"))</f>
        <v/>
      </c>
      <c r="J162" s="10" t="inlineStr">
        <is>
          <t>韓国で漢字復活を宣言した大統領は金大中（キム・デジュン）です。1999年に公文書での漢字併記方針を打ち出しましたが、完全な復活には至りませんでした。
【他の選択肢】A：朴正煕（パク・チョンヒ）は漢字全廃を推進した大統領であり、復活ではありません。C：盧武鉉（ノ・ムヒョン）は漢字復活とは直接関係ありません。D：李明博（イ・ミョンバク）も漢字復活の宣言者ではありません。</t>
        </is>
      </c>
      <c r="K162" s="8" t="inlineStr">
        <is>
          <t>教程7</t>
        </is>
      </c>
    </row>
    <row r="163" ht="45" customHeight="1">
      <c r="A163" s="8" t="n">
        <v>162</v>
      </c>
      <c r="B163" s="8" t="inlineStr">
        <is>
          <t>★★★</t>
        </is>
      </c>
      <c r="C163" s="8" t="inlineStr">
        <is>
          <t>イギリスで外国語教育が小学校必修となった年は。</t>
        </is>
      </c>
      <c r="D163" s="8" t="inlineStr">
        <is>
          <t>1985年</t>
        </is>
      </c>
      <c r="E163" s="8" t="inlineStr">
        <is>
          <t>2000年</t>
        </is>
      </c>
      <c r="F163" s="8" t="inlineStr">
        <is>
          <t>2014年</t>
        </is>
      </c>
      <c r="G163" s="8" t="inlineStr">
        <is>
          <t>2020年</t>
        </is>
      </c>
      <c r="H163" s="8" t="n"/>
      <c r="I163" s="9">
        <f>IF(H163="","",IF(H163="C","〇","×"))</f>
        <v/>
      </c>
      <c r="J163" s="10" t="inlineStr">
        <is>
          <t>イギリスでは2014年に外国語教育が小学校（Key Stage 2、7〜11歳）で必修化されました。フランス語、スペイン語、ドイツ語、中国語、日本語などから選択して学習します。
【他の選択肢】A：1985年はスワン・レポートの発表年であり、外国語必修化の年ではありません。B：2000年は外国語教育必修化の年ではありません。D：2020年も該当しません。</t>
        </is>
      </c>
      <c r="K163" s="8" t="inlineStr">
        <is>
          <t>教程7</t>
        </is>
      </c>
    </row>
    <row r="164" ht="45" customHeight="1">
      <c r="A164" s="8" t="n">
        <v>163</v>
      </c>
      <c r="B164" s="8" t="inlineStr">
        <is>
          <t>★★★</t>
        </is>
      </c>
      <c r="C164" s="8" t="inlineStr">
        <is>
          <t>イギリスの1960年代の移民子ども教育政策は何か。</t>
        </is>
      </c>
      <c r="D164" s="8" t="inlineStr">
        <is>
          <t>同化主義</t>
        </is>
      </c>
      <c r="E164" s="8" t="inlineStr">
        <is>
          <t>統合主義によるESL教育</t>
        </is>
      </c>
      <c r="F164" s="8" t="inlineStr">
        <is>
          <t>多文化教育</t>
        </is>
      </c>
      <c r="G164" s="8" t="inlineStr">
        <is>
          <t>人種差別を減らす教育</t>
        </is>
      </c>
      <c r="H164" s="8" t="n"/>
      <c r="I164" s="9">
        <f>IF(H164="","",IF(H164="B","〇","×"))</f>
        <v/>
      </c>
      <c r="J164" s="10" t="inlineStr">
        <is>
          <t>イギリスの1960年代の移民子ども教育政策は「統合主義によるESL教育」です。移民の子どもに英語（ESL: English as a Second Language）を教え、社会に統合することを目指しました。
【他の選択肢】A：同化主義は1950年代のイギリスの教育政策です。C：多文化教育は1970年頃からの政策です。D：人種差別を減らす教育（反人種差別教育/anti-racist education）は1980年代以降に注目されました。</t>
        </is>
      </c>
      <c r="K164" s="8" t="inlineStr">
        <is>
          <t>教程7</t>
        </is>
      </c>
    </row>
    <row r="165" ht="45" customHeight="1">
      <c r="A165" s="5" t="n">
        <v>164</v>
      </c>
      <c r="B165" s="5" t="inlineStr">
        <is>
          <t>★★</t>
        </is>
      </c>
      <c r="C165" s="5" t="inlineStr">
        <is>
          <t>多言語主義と複言語主義の違いで正しいのはどれか。</t>
        </is>
      </c>
      <c r="D165" s="5" t="inlineStr">
        <is>
          <t>同じ意味</t>
        </is>
      </c>
      <c r="E165" s="5" t="inlineStr">
        <is>
          <t>多言語は社会、複言語は個人</t>
        </is>
      </c>
      <c r="F165" s="5" t="inlineStr">
        <is>
          <t>逆</t>
        </is>
      </c>
      <c r="G165" s="5" t="inlineStr">
        <is>
          <t>両方個人レベル</t>
        </is>
      </c>
      <c r="H165" s="5" t="n"/>
      <c r="I165" s="6">
        <f>IF(H165="","",IF(H165="B","〇","×"))</f>
        <v/>
      </c>
      <c r="J165" s="7" t="inlineStr">
        <is>
          <t>多言語主義（multilingualism）は社会レベルで複数の言語が存在する状態を指し、複言語主義（plurilingualism）は個人レベルで複数の言語を使用することを指します。CEFRでは複言語主義を重視しています。
【他の選択肢】A：多言語主義と複言語主義は同じ意味ではなく、社会レベルと個人レベルの違いがあります。C：多言語主義が個人、複言語主義が社会というのは逆です。D：両方とも個人レベルの概念というのも誤りで、多言語主義は社会レベルです。</t>
        </is>
      </c>
      <c r="K165" s="5" t="inlineStr">
        <is>
          <t>教程7</t>
        </is>
      </c>
    </row>
    <row r="166" ht="45" customHeight="1">
      <c r="A166" s="8" t="n">
        <v>165</v>
      </c>
      <c r="B166" s="8" t="inlineStr">
        <is>
          <t>★★★</t>
        </is>
      </c>
      <c r="C166" s="8" t="inlineStr">
        <is>
          <t>キムの異文化適応モデル（1988）の形はどれか。</t>
        </is>
      </c>
      <c r="D166" s="8" t="inlineStr">
        <is>
          <t>U字型</t>
        </is>
      </c>
      <c r="E166" s="8" t="inlineStr">
        <is>
          <t>W字型</t>
        </is>
      </c>
      <c r="F166" s="8" t="inlineStr">
        <is>
          <t>らせん状</t>
        </is>
      </c>
      <c r="G166" s="8" t="inlineStr">
        <is>
          <t>S字型</t>
        </is>
      </c>
      <c r="H166" s="8" t="n"/>
      <c r="I166" s="9">
        <f>IF(H166="","",IF(H166="C","〇","×"))</f>
        <v/>
      </c>
      <c r="J166" s="10" t="inlineStr">
        <is>
          <t>キム（Young Yun Kim）の異文化適応モデル（1988年）は「らせん状（spiral）」の形を取ります。適応と後退を繰り返しながら、らせん状に上昇していく（ストレス→適応→成長の繰り返し）というモデルです。
【他の選択肢】A：U字型はリスガードの異文化適応モデルの形です。B：W字型はガリホーンの再適応モデル（帰国後の適応も含む）の形です。D：S字型はイノベーション普及などの文脈で使われる曲線で、キムのモデルではありません。</t>
        </is>
      </c>
      <c r="K166" s="8" t="inlineStr">
        <is>
          <t>教程7</t>
        </is>
      </c>
    </row>
    <row r="167" ht="45" customHeight="1">
      <c r="A167" s="2" t="n">
        <v>166</v>
      </c>
      <c r="B167" s="2" t="inlineStr">
        <is>
          <t>★</t>
        </is>
      </c>
      <c r="C167" s="2" t="inlineStr">
        <is>
          <t>異文化適応の「共感」を意味する用語はどれか。</t>
        </is>
      </c>
      <c r="D167" s="2" t="inlineStr">
        <is>
          <t>エポケー</t>
        </is>
      </c>
      <c r="E167" s="2" t="inlineStr">
        <is>
          <t>エンパシー</t>
        </is>
      </c>
      <c r="F167" s="2" t="inlineStr">
        <is>
          <t>アサーション</t>
        </is>
      </c>
      <c r="G167" s="2" t="inlineStr">
        <is>
          <t>トレランス</t>
        </is>
      </c>
      <c r="H167" s="2" t="n"/>
      <c r="I167" s="3">
        <f>IF(H167="","",IF(H167="B","〇","×"))</f>
        <v/>
      </c>
      <c r="J167" s="4" t="inlineStr">
        <is>
          <t>異文化適応における「共感」を意味する用語は「エンパシー（empathy）」です。相手の立場に立って感情や考えを理解する能力で、異文化コミュニケーションにおいて重要な態度です。
【他の選択肢】A：エポケーは「判断留保」を意味し、自分の価値観で即座に判断せず保留することです。共感とは異なる概念です。C：アサーションは「自己主張」で、自分の考えを適切に表現することです。D：トレランスは「寛容」で、異文化の違いに耐え受容する態度です。</t>
        </is>
      </c>
      <c r="K167" s="2" t="inlineStr">
        <is>
          <t>教程7</t>
        </is>
      </c>
    </row>
    <row r="168" ht="45" customHeight="1">
      <c r="A168" s="5" t="n">
        <v>167</v>
      </c>
      <c r="B168" s="5" t="inlineStr">
        <is>
          <t>★★</t>
        </is>
      </c>
      <c r="C168" s="5" t="inlineStr">
        <is>
          <t>アサーティブ・コミュニケーションとは何か。</t>
        </is>
      </c>
      <c r="D168" s="5" t="inlineStr">
        <is>
          <t>一方的主張</t>
        </is>
      </c>
      <c r="E168" s="5" t="inlineStr">
        <is>
          <t>相互尊重のコミュニケーション</t>
        </is>
      </c>
      <c r="F168" s="5" t="inlineStr">
        <is>
          <t>非言語コミュニケーション</t>
        </is>
      </c>
      <c r="G168" s="5" t="inlineStr">
        <is>
          <t>回避的コミュニケーション</t>
        </is>
      </c>
      <c r="H168" s="5" t="n"/>
      <c r="I168" s="6">
        <f>IF(H168="","",IF(H168="B","〇","×"))</f>
        <v/>
      </c>
      <c r="J168" s="7" t="inlineStr">
        <is>
          <t>アサーティブ・コミュニケーションとは、自分も相手も尊重した相互尊重のコミュニケーションです。攻撃的（アグレッシブ）でもなく、受身的（パッシブ）でもない、第三の自己表現スタイルです。
【他の選択肢】A：一方的主張はアグレッシブ（攻撃的）なコミュニケーションであり、アサーティブとは異なります。C：非言語コミュニケーションはジェスチャーや表情による伝達で、アサーティブ・コミュニケーションの定義ではありません。D：回避的コミュニケーションはパッシブ（受身的）なスタイルで、アサーティブとは正反対です。</t>
        </is>
      </c>
      <c r="K168" s="5" t="inlineStr">
        <is>
          <t>教程7</t>
        </is>
      </c>
    </row>
    <row r="169" ht="45" customHeight="1">
      <c r="A169" s="5" t="n">
        <v>168</v>
      </c>
      <c r="B169" s="5" t="inlineStr">
        <is>
          <t>★★</t>
        </is>
      </c>
      <c r="C169" s="5" t="inlineStr">
        <is>
          <t>トータルカルチャーとは何か。</t>
        </is>
      </c>
      <c r="D169" s="5" t="inlineStr">
        <is>
          <t>特定グループの文化</t>
        </is>
      </c>
      <c r="E169" s="5" t="inlineStr">
        <is>
          <t>社会共通の行動様式・習慣・価値観</t>
        </is>
      </c>
      <c r="F169" s="5" t="inlineStr">
        <is>
          <t>外国文化</t>
        </is>
      </c>
      <c r="G169" s="5" t="inlineStr">
        <is>
          <t>反文化運動</t>
        </is>
      </c>
      <c r="H169" s="5" t="n"/>
      <c r="I169" s="6">
        <f>IF(H169="","",IF(H169="B","〇","×"))</f>
        <v/>
      </c>
      <c r="J169" s="7" t="inlineStr">
        <is>
          <t>トータルカルチャーとは、社会全体に共通する行動様式・習慣・価値観のことです。サブカルチャー（特定グループの文化）と対比される概念で、社会の多数派が共有する主流文化を指します。
【他の選択肢】A：特定グループの文化は「サブカルチャー」です。C：外国文化はトータルカルチャーの定義に当てはまりません。D：反文化運動は「カウンターカルチャー」であり、トータルカルチャーとは異なります。</t>
        </is>
      </c>
      <c r="K169" s="5" t="inlineStr">
        <is>
          <t>教程7</t>
        </is>
      </c>
    </row>
    <row r="170" ht="45" customHeight="1">
      <c r="A170" s="5" t="n">
        <v>169</v>
      </c>
      <c r="B170" s="5" t="inlineStr">
        <is>
          <t>★★</t>
        </is>
      </c>
      <c r="C170" s="5" t="inlineStr">
        <is>
          <t>サブカルチャーとは何か。</t>
        </is>
      </c>
      <c r="D170" s="5" t="inlineStr">
        <is>
          <t>社会全体の文化</t>
        </is>
      </c>
      <c r="E170" s="5" t="inlineStr">
        <is>
          <t>特定グループの行動様式・習慣・価値観</t>
        </is>
      </c>
      <c r="F170" s="5" t="inlineStr">
        <is>
          <t>主流文化への反対</t>
        </is>
      </c>
      <c r="G170" s="5" t="inlineStr">
        <is>
          <t>外国文化</t>
        </is>
      </c>
      <c r="H170" s="5" t="n"/>
      <c r="I170" s="6">
        <f>IF(H170="","",IF(H170="B","〇","×"))</f>
        <v/>
      </c>
      <c r="J170" s="7" t="inlineStr">
        <is>
          <t>サブカルチャーとは、社会全体の文化（トータルカルチャー）の中で、特定のグループが持つ独自の行動様式・習慣・価値観のことです。年齢、職業、民族、地域などによる文化的下位集団の文化を指します。
【他の選択肢】A：社会全体の文化は「トータルカルチャー」です。C：主流文化への反対は「カウンターカルチャー」であり、サブカルチャーとは異なります。カウンターカルチャーは主流の価値観に意識的に対抗する文化運動です。D：外国文化はサブカルチャーの定義に当てはまりません。</t>
        </is>
      </c>
      <c r="K170" s="5" t="inlineStr">
        <is>
          <t>教程7</t>
        </is>
      </c>
    </row>
    <row r="171" ht="45" customHeight="1">
      <c r="A171" s="5" t="n">
        <v>170</v>
      </c>
      <c r="B171" s="5" t="inlineStr">
        <is>
          <t>★★</t>
        </is>
      </c>
      <c r="C171" s="5" t="inlineStr">
        <is>
          <t>フランス1992年憲法改正の内容は何か。</t>
        </is>
      </c>
      <c r="D171" s="5" t="inlineStr">
        <is>
          <t>移民の権利保障</t>
        </is>
      </c>
      <c r="E171" s="5" t="inlineStr">
        <is>
          <t>「共和国の言語はフランス語」と定めた</t>
        </is>
      </c>
      <c r="F171" s="5" t="inlineStr">
        <is>
          <t>多言語主義の導入</t>
        </is>
      </c>
      <c r="G171" s="5" t="inlineStr">
        <is>
          <t>英語教育義務化</t>
        </is>
      </c>
      <c r="H171" s="5" t="n"/>
      <c r="I171" s="6">
        <f>IF(H171="","",IF(H171="B","〇","×"))</f>
        <v/>
      </c>
      <c r="J171" s="7" t="inlineStr">
        <is>
          <t>1992年のフランス憲法改正で「共和国の言語はフランス語である」と憲法第2条に明記されました。EU統合の進展に伴い、フランス語の地位を憲法レベルで確認する必要が生じたためです。
【他の選択肢】A：移民の権利保障は1992年憲法改正の主な内容ではありません。C：多言語主義の導入ではなく、むしろフランス語の地位を明確化するものでした。D：英語教育義務化は1992年の憲法改正の内容とは正反対です。</t>
        </is>
      </c>
      <c r="K171" s="5" t="inlineStr">
        <is>
          <t>教程7</t>
        </is>
      </c>
    </row>
    <row r="172" ht="45" customHeight="1">
      <c r="A172" s="8" t="n">
        <v>171</v>
      </c>
      <c r="B172" s="8" t="inlineStr">
        <is>
          <t>★★★</t>
        </is>
      </c>
      <c r="C172" s="8" t="inlineStr">
        <is>
          <t>中国の簡体字の総数はいくつか。</t>
        </is>
      </c>
      <c r="D172" s="8" t="inlineStr">
        <is>
          <t>1,235字</t>
        </is>
      </c>
      <c r="E172" s="8" t="inlineStr">
        <is>
          <t>2,235字</t>
        </is>
      </c>
      <c r="F172" s="8" t="inlineStr">
        <is>
          <t>3,235字</t>
        </is>
      </c>
      <c r="G172" s="8" t="inlineStr">
        <is>
          <t>5,000字</t>
        </is>
      </c>
      <c r="H172" s="8" t="n"/>
      <c r="I172" s="9">
        <f>IF(H172="","",IF(H172="B","〇","×"))</f>
        <v/>
      </c>
      <c r="J172" s="10" t="inlineStr">
        <is>
          <t>中国の簡体字の総数は2,235字です。1964年に公布された「簡化字総表」にまとめられています。繁体字（旧字体）の画数を大幅に減らした字体です。
【他の選択肢】A：1,235字は正しい数ではありません。C：3,235字は実際の数より多すぎます。D：5,000字は簡体字の総数ではありません。</t>
        </is>
      </c>
      <c r="K172" s="8" t="inlineStr">
        <is>
          <t>教程7</t>
        </is>
      </c>
    </row>
    <row r="173" ht="45" customHeight="1">
      <c r="A173" s="2" t="n">
        <v>172</v>
      </c>
      <c r="B173" s="2" t="inlineStr">
        <is>
          <t>★</t>
        </is>
      </c>
      <c r="C173" s="2" t="inlineStr">
        <is>
          <t>自己開示とは何か。</t>
        </is>
      </c>
      <c r="D173" s="2" t="inlineStr">
        <is>
          <t>他者の情報公開</t>
        </is>
      </c>
      <c r="E173" s="2" t="inlineStr">
        <is>
          <t>自分のことを相手に伝えること</t>
        </is>
      </c>
      <c r="F173" s="2" t="inlineStr">
        <is>
          <t>秘密暴露</t>
        </is>
      </c>
      <c r="G173" s="2" t="inlineStr">
        <is>
          <t>文化の違いを指摘</t>
        </is>
      </c>
      <c r="H173" s="2" t="n"/>
      <c r="I173" s="3">
        <f>IF(H173="","",IF(H173="B","〇","×"))</f>
        <v/>
      </c>
      <c r="J173" s="4" t="inlineStr">
        <is>
          <t>自己開示とは、自分自身に関する情報（経験・感情・考えなど）を相手に伝えることです。異文化コミュニケーションにおいて信頼関係を構築するための重要な要素とされています。
【他の選択肢】A：他者の情報公開は自己開示ではありません。C：秘密暴露は自己開示の目的とは異なります。自己開示はプライバシーの暴露ではなく、自発的な情報共有です。D：文化の違いを指摘することは自己開示ではありません。</t>
        </is>
      </c>
      <c r="K173" s="2" t="inlineStr">
        <is>
          <t>教程7</t>
        </is>
      </c>
    </row>
    <row r="174" ht="45" customHeight="1">
      <c r="A174" s="5" t="n">
        <v>173</v>
      </c>
      <c r="B174" s="5" t="inlineStr">
        <is>
          <t>★★</t>
        </is>
      </c>
      <c r="C174" s="5" t="inlineStr">
        <is>
          <t>異文化間能力の3要素はどれか。</t>
        </is>
      </c>
      <c r="D174" s="5" t="inlineStr">
        <is>
          <t>知識・技能・態度</t>
        </is>
      </c>
      <c r="E174" s="5" t="inlineStr">
        <is>
          <t>気づき・知識・行動</t>
        </is>
      </c>
      <c r="F174" s="5" t="inlineStr">
        <is>
          <t>理解・共感・適応</t>
        </is>
      </c>
      <c r="G174" s="5" t="inlineStr">
        <is>
          <t>聞く・話す・読む</t>
        </is>
      </c>
      <c r="H174" s="5" t="n"/>
      <c r="I174" s="6">
        <f>IF(H174="","",IF(H174="B","〇","×"))</f>
        <v/>
      </c>
      <c r="J174" s="7" t="inlineStr">
        <is>
          <t>異文化間能力の3要素は「気づき（awareness）」「知識（knowledge）」「行動（action/skills）」です。異文化の違いに気づき、知識を持ち、適切に行動できる能力の総体です。
【他の選択肢】A：「知識・技能・態度」は教育一般で使われる3要素ですが、異文化間能力の3要素としては「気づき・知識・行動」が正確です。C：「理解・共感・適応」は異文化適応のプロセスに関連する概念ですが、異文化間能力の3要素としては正確ではありません。D：「聞く・話す・読む」は言語技能であり、異文化間能力の要素ではありません。</t>
        </is>
      </c>
      <c r="K174" s="5" t="inlineStr">
        <is>
          <t>教程7</t>
        </is>
      </c>
    </row>
    <row r="175" ht="45" customHeight="1">
      <c r="A175" s="5" t="n">
        <v>174</v>
      </c>
      <c r="B175" s="5" t="inlineStr">
        <is>
          <t>★★</t>
        </is>
      </c>
      <c r="C175" s="5" t="inlineStr">
        <is>
          <t>言語景観は何方向のコミュニケーションか。</t>
        </is>
      </c>
      <c r="D175" s="5" t="inlineStr">
        <is>
          <t>双方向</t>
        </is>
      </c>
      <c r="E175" s="5" t="inlineStr">
        <is>
          <t>一方通行</t>
        </is>
      </c>
      <c r="F175" s="5" t="inlineStr">
        <is>
          <t>多方向</t>
        </is>
      </c>
      <c r="G175" s="5" t="inlineStr">
        <is>
          <t>相互的</t>
        </is>
      </c>
      <c r="H175" s="5" t="n"/>
      <c r="I175" s="6">
        <f>IF(H175="","",IF(H175="B","〇","×"))</f>
        <v/>
      </c>
      <c r="J175" s="7" t="inlineStr">
        <is>
          <t>言語景観は「一方通行」のコミュニケーションです。看板や標識の掲示者が情報を発信し、それを見る人が受け取るという一方向的な情報伝達であり、受け手からの即時的な応答はありません。
【他の選択肢】A：双方向のコミュニケーションではなく、看板から見る人への一方通行です。C：多方向でもなく、掲示者→閲覧者の一方向です。D：相互的なやりとりは看板・標識では成立しません。</t>
        </is>
      </c>
      <c r="K175" s="5" t="inlineStr">
        <is>
          <t>教程7</t>
        </is>
      </c>
    </row>
    <row r="176" ht="45" customHeight="1">
      <c r="A176" s="2" t="n">
        <v>175</v>
      </c>
      <c r="B176" s="2" t="inlineStr">
        <is>
          <t>★</t>
        </is>
      </c>
      <c r="C176" s="2" t="inlineStr">
        <is>
          <t>日本語教育所管の文部科学省移管は何年度か。</t>
        </is>
      </c>
      <c r="D176" s="2" t="inlineStr">
        <is>
          <t>2022年度</t>
        </is>
      </c>
      <c r="E176" s="2" t="inlineStr">
        <is>
          <t>2023年度</t>
        </is>
      </c>
      <c r="F176" s="2" t="inlineStr">
        <is>
          <t>2024年度</t>
        </is>
      </c>
      <c r="G176" s="2" t="inlineStr">
        <is>
          <t>2025年度</t>
        </is>
      </c>
      <c r="H176" s="2" t="n"/>
      <c r="I176" s="3">
        <f>IF(H176="","",IF(H176="C","〇","×"))</f>
        <v/>
      </c>
      <c r="J176" s="4" t="inlineStr">
        <is>
          <t>日本語教育の所管が文化庁から文部科学省に移管されたのは2024年度です。登録日本語教員の制度開始と合わせて、日本語教育行政の体制が再編されました。
【他の選択肢】A：2022年度は移管年度ではありません。B：2023年度も移管年度ではありません。D：2025年度でもなく、2024年度が正しい移管年度です。</t>
        </is>
      </c>
      <c r="K176" s="2" t="inlineStr">
        <is>
          <t>教程1</t>
        </is>
      </c>
    </row>
    <row r="177" ht="45" customHeight="1">
      <c r="A177" s="8" t="n">
        <v>176</v>
      </c>
      <c r="B177" s="8" t="inlineStr">
        <is>
          <t>★★★</t>
        </is>
      </c>
      <c r="C177" s="8" t="inlineStr">
        <is>
          <t>大出正篤の速成式教材の名称は何か。</t>
        </is>
      </c>
      <c r="D177" s="8" t="inlineStr">
        <is>
          <t>日本語読本</t>
        </is>
      </c>
      <c r="E177" s="8" t="inlineStr">
        <is>
          <t>効果的速成式標準日本語読本</t>
        </is>
      </c>
      <c r="F177" s="8" t="inlineStr">
        <is>
          <t>初級日本語</t>
        </is>
      </c>
      <c r="G177" s="8" t="inlineStr">
        <is>
          <t>日本語基礎</t>
        </is>
      </c>
      <c r="H177" s="8" t="n"/>
      <c r="I177" s="9">
        <f>IF(H177="","",IF(H177="B","〇","×"))</f>
        <v/>
      </c>
      <c r="J177" s="10" t="inlineStr">
        <is>
          <t>大出正篤が開発した速成式教材の名称は「効果的速成式標準日本語読本」です。満州国での日本語教育に用いられた教材で、短期間で日本語を習得させることを目的としていました。
【他の選択肢】A：「日本語読本」は一般的な名称であり、大出の教材の正確な名称ではありません。C：「初級日本語」も大出の教材名ではありません。D：「日本語基礎」も該当しません。</t>
        </is>
      </c>
      <c r="K177" s="8" t="inlineStr">
        <is>
          <t>教程3</t>
        </is>
      </c>
    </row>
    <row r="178" ht="45" customHeight="1">
      <c r="A178" s="8" t="n">
        <v>177</v>
      </c>
      <c r="B178" s="8" t="inlineStr">
        <is>
          <t>★★★</t>
        </is>
      </c>
      <c r="C178" s="8" t="inlineStr">
        <is>
          <t>1896年の台湾の日本語教育規則は何か。</t>
        </is>
      </c>
      <c r="D178" s="8" t="inlineStr">
        <is>
          <t>公学校規則</t>
        </is>
      </c>
      <c r="E178" s="8" t="inlineStr">
        <is>
          <t>国語伝習所規則</t>
        </is>
      </c>
      <c r="F178" s="8" t="inlineStr">
        <is>
          <t>国民学校令</t>
        </is>
      </c>
      <c r="G178" s="8" t="inlineStr">
        <is>
          <t>教育令</t>
        </is>
      </c>
      <c r="H178" s="8" t="n"/>
      <c r="I178" s="9">
        <f>IF(H178="","",IF(H178="B","〇","×"))</f>
        <v/>
      </c>
      <c r="J178" s="10" t="inlineStr">
        <is>
          <t>1896年に台湾で制定された日本語教育規則は「国語伝習所規則」です。国語伝習所は台湾各地に設置された日本語教育機関で、台湾人に「国語（日本語）」を教えることを目的としていました。
【他の選択肢】A：公学校規則は1898年に制定されたもので、国語伝習所規則の後に施行されました。C：国民学校令は1941年に日本本土で施行された教育制度です。D：教育令は朝鮮半島の教育制度に関するものです。</t>
        </is>
      </c>
      <c r="K178" s="8" t="inlineStr">
        <is>
          <t>教程3</t>
        </is>
      </c>
    </row>
    <row r="179" ht="45" customHeight="1">
      <c r="A179" s="5" t="n">
        <v>178</v>
      </c>
      <c r="B179" s="5" t="inlineStr">
        <is>
          <t>★★</t>
        </is>
      </c>
      <c r="C179" s="5" t="inlineStr">
        <is>
          <t>ポリグロシアとは何か。</t>
        </is>
      </c>
      <c r="D179" s="5" t="inlineStr">
        <is>
          <t>二重言語併用</t>
        </is>
      </c>
      <c r="E179" s="5" t="inlineStr">
        <is>
          <t>多重言語併用</t>
        </is>
      </c>
      <c r="F179" s="5" t="inlineStr">
        <is>
          <t>一言語使用</t>
        </is>
      </c>
      <c r="G179" s="5" t="inlineStr">
        <is>
          <t>言語消滅</t>
        </is>
      </c>
      <c r="H179" s="5" t="n"/>
      <c r="I179" s="6">
        <f>IF(H179="","",IF(H179="B","〇","×"))</f>
        <v/>
      </c>
      <c r="J179" s="7" t="inlineStr">
        <is>
          <t>ポリグロシアとは、3つ以上の言語変種が社会的に使い分けられている状況を指します。ダイグロシア（二重言語併用）の拡張概念で、より複雑な多言語社会の状況を記述するための用語です。
【他の選択肢】A：二重言語併用は「ダイグロシア」であり、ポリグロシアとは異なります。C：一言語使用はモノリンガリズムであり、ポリグロシアとは正反対です。D：言語消滅は言語が話者を失って消えることで、ポリグロシアとは関係ありません。</t>
        </is>
      </c>
      <c r="K179" s="5" t="inlineStr">
        <is>
          <t>教程4</t>
        </is>
      </c>
    </row>
    <row r="180" ht="45" customHeight="1">
      <c r="A180" s="5" t="n">
        <v>179</v>
      </c>
      <c r="B180" s="5" t="inlineStr">
        <is>
          <t>★★</t>
        </is>
      </c>
      <c r="C180" s="5" t="inlineStr">
        <is>
          <t>位相語とは何か。</t>
        </is>
      </c>
      <c r="D180" s="5" t="inlineStr">
        <is>
          <t>地域の言語差</t>
        </is>
      </c>
      <c r="E180" s="5" t="inlineStr">
        <is>
          <t>社会的立場による言語の違い</t>
        </is>
      </c>
      <c r="F180" s="5" t="inlineStr">
        <is>
          <t>外来語</t>
        </is>
      </c>
      <c r="G180" s="5" t="inlineStr">
        <is>
          <t>古語</t>
        </is>
      </c>
      <c r="H180" s="5" t="n"/>
      <c r="I180" s="6">
        <f>IF(H180="","",IF(H180="B","〇","×"))</f>
        <v/>
      </c>
      <c r="J180" s="7" t="inlineStr">
        <is>
          <t>位相語とは、社会的立場（性別・年齢・職業・階層など）の違いによって生じる言葉の違いのことです。社会方言と密接に関連する概念で、「女性語」「若者言葉」「専門用語」などが位相語の例です。
【他の選択肢】A：地域の言語差は「地域方言」であり、位相語とは異なります。位相語は社会的立場による違いです。C：外来語は他言語から借用された語彙で、社会的立場による使い分けとは別の概念です。D：古語は歴史的に古い言葉で、現代の社会的立場とは関係ありません。</t>
        </is>
      </c>
      <c r="K180" s="5" t="inlineStr">
        <is>
          <t>教程4</t>
        </is>
      </c>
    </row>
    <row r="181" ht="45" customHeight="1">
      <c r="A181" s="5" t="n">
        <v>180</v>
      </c>
      <c r="B181" s="5" t="inlineStr">
        <is>
          <t>★★</t>
        </is>
      </c>
      <c r="C181" s="5" t="inlineStr">
        <is>
          <t>JFにほんごネットワークの通称は何か。</t>
        </is>
      </c>
      <c r="D181" s="5" t="inlineStr">
        <is>
          <t>さくらネットワーク</t>
        </is>
      </c>
      <c r="E181" s="5" t="inlineStr">
        <is>
          <t>ひまわりネットワーク</t>
        </is>
      </c>
      <c r="F181" s="5" t="inlineStr">
        <is>
          <t>つばきネットワーク</t>
        </is>
      </c>
      <c r="G181" s="5" t="inlineStr">
        <is>
          <t>あおいネットワーク</t>
        </is>
      </c>
      <c r="H181" s="5" t="n"/>
      <c r="I181" s="6">
        <f>IF(H181="","",IF(H181="A","〇","×"))</f>
        <v/>
      </c>
      <c r="J181" s="7" t="inlineStr">
        <is>
          <t>JFにほんごネットワーク（国際交流基金の日本語教育ネットワーク）の通称は「さくらネットワーク」です。世界各地の日本語教育機関をネットワークで結び、日本語教育の支援・協力を行っています。
【他の選択肢】B：「ひまわりネットワーク」はさくらネットワークの通称ではありません。C：「つばきネットワーク」も該当しません。D：「あおいネットワーク」も該当しません。</t>
        </is>
      </c>
      <c r="K181" s="5" t="inlineStr">
        <is>
          <t>教程3</t>
        </is>
      </c>
    </row>
    <row r="182" ht="45" customHeight="1">
      <c r="A182" s="2" t="n">
        <v>181</v>
      </c>
      <c r="B182" s="2" t="inlineStr">
        <is>
          <t>★</t>
        </is>
      </c>
      <c r="C182" s="2" t="inlineStr">
        <is>
          <t>特定技能は全部で何分野か（2024年度追加後）。</t>
        </is>
      </c>
      <c r="D182" s="2" t="inlineStr">
        <is>
          <t>12</t>
        </is>
      </c>
      <c r="E182" s="2" t="inlineStr">
        <is>
          <t>14</t>
        </is>
      </c>
      <c r="F182" s="2" t="inlineStr">
        <is>
          <t>16</t>
        </is>
      </c>
      <c r="G182" s="2" t="inlineStr">
        <is>
          <t>18</t>
        </is>
      </c>
      <c r="H182" s="2" t="n"/>
      <c r="I182" s="3">
        <f>IF(H182="","",IF(H182="C","〇","×"))</f>
        <v/>
      </c>
      <c r="J182" s="4" t="inlineStr">
        <is>
          <t>特定技能は2024年度の4分野追加後、全部で16分野となりました。当初の12分野（介護、ビルクリーニング、素形材・産業機械・電気電子情報関連製造業、建設、造船・舶用工業、自動車整備、航空、宿泊、農業、漁業、飲食料品製造業、外食業）に、自動車運送業、鉄道、林業、木材産業の4分野が追加されました。
【他の選択肢】A：12分野は2024年度追加前の分野数です。B：14分野は正しい数ではありません。D：18分野でもなく、16分野が正確な数です。</t>
        </is>
      </c>
      <c r="K182" s="2" t="inlineStr">
        <is>
          <t>教程2</t>
        </is>
      </c>
    </row>
    <row r="183"/>
    <row r="184" ht="15" customHeight="1">
      <c r="A184" s="11" t="inlineStr">
        <is>
          <t>【得点】</t>
        </is>
      </c>
      <c r="B184">
        <f>COUNTIF(I2:I182,"〇")&amp;"/"&amp;COUNTA(H2:H182)&amp;" 問正解"</f>
        <v/>
      </c>
      <c r="C184">
        <f>TEXT(IF(COUNTA(H2:H182)=0,0,COUNTIF(I2:I182,"〇")/COUNTA(H2:H182)),"0%")&amp;" 正答率"</f>
        <v/>
      </c>
    </row>
  </sheetData>
  <conditionalFormatting sqref="I2:I182">
    <cfRule type="expression" priority="2" dxfId="2">
      <formula>$I2="〇"</formula>
    </cfRule>
    <cfRule type="expression" priority="3" dxfId="1">
      <formula>$I2="×"</formula>
    </cfRule>
  </conditionalFormatting>
  <conditionalFormatting sqref="J2:J182">
    <cfRule type="expression" priority="1" dxfId="0">
      <formula>$H2&lt;&gt;""</formula>
    </cfRule>
  </conditionalFormatting>
  <dataValidations count="1">
    <dataValidation sqref="H2:H182" showDropDown="0" showInputMessage="0" showErrorMessage="0" allowBlank="1" promptTitle="回答" prompt="A〜Dから選択してください" type="list">
      <formula1>"A,B,C,D"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2"/>
  <sheetViews>
    <sheetView workbookViewId="0">
      <pane ySplit="1" topLeftCell="A2" activePane="bottomLeft" state="frozen"/>
      <selection pane="bottomLeft" activeCell="A1" sqref="A1"/>
    </sheetView>
  </sheetViews>
  <sheetFormatPr baseColWidth="8" defaultRowHeight="13.5"/>
  <cols>
    <col width="5" customWidth="1" min="1" max="1"/>
    <col width="8" customWidth="1" min="2" max="2"/>
    <col width="40" customWidth="1" min="3" max="3"/>
    <col width="6" customWidth="1" min="4" max="4"/>
    <col width="18" customWidth="1" min="5" max="8"/>
    <col width="50" customWidth="1" min="9" max="9"/>
    <col width="55" customWidth="1" min="10" max="10"/>
    <col width="12" customWidth="1" min="11" max="11"/>
  </cols>
  <sheetData>
    <row r="1" ht="30" customHeight="1">
      <c r="A1" s="1" t="inlineStr">
        <is>
          <t>No</t>
        </is>
      </c>
      <c r="B1" s="1" t="inlineStr">
        <is>
          <t>難易度</t>
        </is>
      </c>
      <c r="C1" s="1" t="inlineStr">
        <is>
          <t>問題文</t>
        </is>
      </c>
      <c r="D1" s="1" t="inlineStr">
        <is>
          <t>正解</t>
        </is>
      </c>
      <c r="E1" s="1" t="inlineStr">
        <is>
          <t>選択肢A</t>
        </is>
      </c>
      <c r="F1" s="1" t="inlineStr">
        <is>
          <t>選択肢B</t>
        </is>
      </c>
      <c r="G1" s="1" t="inlineStr">
        <is>
          <t>選択肢C</t>
        </is>
      </c>
      <c r="H1" s="1" t="inlineStr">
        <is>
          <t>選択肢D</t>
        </is>
      </c>
      <c r="I1" s="1" t="inlineStr">
        <is>
          <t>なぜ正解か</t>
        </is>
      </c>
      <c r="J1" s="1" t="inlineStr">
        <is>
          <t>各誤答の解説</t>
        </is>
      </c>
      <c r="K1" s="1" t="inlineStr">
        <is>
          <t>出典</t>
        </is>
      </c>
    </row>
    <row r="2" ht="50.1" customHeight="1">
      <c r="A2" s="12" t="n">
        <v>1</v>
      </c>
      <c r="B2" s="12" t="inlineStr">
        <is>
          <t>★</t>
        </is>
      </c>
      <c r="C2" s="12" t="inlineStr">
        <is>
          <t>「難民の地位に関する条約」における難民の定義に含まれない理由はどれか。</t>
        </is>
      </c>
      <c r="D2" s="12" t="inlineStr">
        <is>
          <t>C</t>
        </is>
      </c>
      <c r="E2" s="12" t="inlineStr">
        <is>
          <t>人種</t>
        </is>
      </c>
      <c r="F2" s="12" t="inlineStr">
        <is>
          <t>宗教</t>
        </is>
      </c>
      <c r="G2" s="12" t="inlineStr">
        <is>
          <t>経済的困窮</t>
        </is>
      </c>
      <c r="H2" s="12" t="inlineStr">
        <is>
          <t>政治的意見</t>
        </is>
      </c>
      <c r="I2" s="12" t="inlineStr">
        <is>
          <t>難民条約（1951年）は迫害の理由を5つに限定しており、「人種・宗教・国籍・特定の社会的集団の構成員・政治的意見」です。経済的困窮はこの5つに含まれないため、条約上の難民の定義には該当しません。</t>
        </is>
      </c>
      <c r="J2" s="12" t="inlineStr">
        <is>
          <t>A：人種は5つの理由の一つで含まれます。B：宗教も5つの理由の一つで含まれます。D：政治的意見も5つの理由の一つで含まれます。いずれも難民の定義に明記されている迫害理由です。</t>
        </is>
      </c>
      <c r="K2" s="12" t="inlineStr">
        <is>
          <t>教程1</t>
        </is>
      </c>
    </row>
    <row r="3" ht="50.1" customHeight="1">
      <c r="A3" s="12" t="n">
        <v>2</v>
      </c>
      <c r="B3" s="12" t="inlineStr">
        <is>
          <t>★</t>
        </is>
      </c>
      <c r="C3" s="12" t="inlineStr">
        <is>
          <t>国際交流基金が実施する「海外日本語教育機関調査」は何年おきに行われるか。</t>
        </is>
      </c>
      <c r="D3" s="12" t="inlineStr">
        <is>
          <t>C</t>
        </is>
      </c>
      <c r="E3" s="12" t="inlineStr">
        <is>
          <t>毎年</t>
        </is>
      </c>
      <c r="F3" s="12" t="inlineStr">
        <is>
          <t>2年おき</t>
        </is>
      </c>
      <c r="G3" s="12" t="inlineStr">
        <is>
          <t>3年おき</t>
        </is>
      </c>
      <c r="H3" s="12" t="inlineStr">
        <is>
          <t>5年おき</t>
        </is>
      </c>
      <c r="I3" s="12" t="inlineStr">
        <is>
          <t>国際交流基金の「海外日本語教育機関調査」は3年おきに実施される大規模調査です。世界各国・地域の日本語学習者数、教師数、教育機関数などを把握し、日本語教育の現状と動向を明らかにすることを目的としています。</t>
        </is>
      </c>
      <c r="J3" s="12" t="inlineStr">
        <is>
          <t>A：毎年実施ではなく、3年周期です。B：2年おきではありません。D：5年おきでもありません。3年というサイクルは、変化を捉えつつ調査の実施負担も考慮した期間です。</t>
        </is>
      </c>
      <c r="K3" s="12" t="inlineStr">
        <is>
          <t>教程1</t>
        </is>
      </c>
    </row>
    <row r="4" ht="50.1" customHeight="1">
      <c r="A4" s="12" t="n">
        <v>3</v>
      </c>
      <c r="B4" s="12" t="inlineStr">
        <is>
          <t>★</t>
        </is>
      </c>
      <c r="C4" s="12" t="inlineStr">
        <is>
          <t>インドネシアの日本語学習者の90%以上を占める層はどれか。</t>
        </is>
      </c>
      <c r="D4" s="12" t="inlineStr">
        <is>
          <t>C</t>
        </is>
      </c>
      <c r="E4" s="12" t="inlineStr">
        <is>
          <t>大学生</t>
        </is>
      </c>
      <c r="F4" s="12" t="inlineStr">
        <is>
          <t>社会人</t>
        </is>
      </c>
      <c r="G4" s="12" t="inlineStr">
        <is>
          <t>高校生</t>
        </is>
      </c>
      <c r="H4" s="12" t="inlineStr">
        <is>
          <t>小学生</t>
        </is>
      </c>
      <c r="I4" s="12" t="inlineStr">
        <is>
          <t>インドネシアでは高校（中等教育機関）での日本語教育が非常に盛んで、学習者全体の90%以上を高校生が占めています。これは高校のカリキュラムに第二外国語として日本語が組み込まれているためです。</t>
        </is>
      </c>
      <c r="J4" s="12" t="inlineStr">
        <is>
          <t>A：大学生の学習者は全体のごく一部です。B：社会人の学習者も少数派です。D：小学生での日本語教育はインドネシアではほとんど行われていません。</t>
        </is>
      </c>
      <c r="K4" s="12" t="inlineStr">
        <is>
          <t>教程1</t>
        </is>
      </c>
    </row>
    <row r="5" ht="50.1" customHeight="1">
      <c r="A5" s="12" t="n">
        <v>4</v>
      </c>
      <c r="B5" s="12" t="inlineStr">
        <is>
          <t>★</t>
        </is>
      </c>
      <c r="C5" s="12" t="inlineStr">
        <is>
          <t>1972年の日中国交正常化後、中国で起きた日本語教育の動きとして正しいものはどれか。</t>
        </is>
      </c>
      <c r="D5" s="12" t="inlineStr">
        <is>
          <t>A</t>
        </is>
      </c>
      <c r="E5" s="12" t="inlineStr">
        <is>
          <t>第一次日本語ブームが起きた</t>
        </is>
      </c>
      <c r="F5" s="12" t="inlineStr">
        <is>
          <t>日本語が禁止された</t>
        </is>
      </c>
      <c r="G5" s="12" t="inlineStr">
        <is>
          <t>日本語学校が全廃された</t>
        </is>
      </c>
      <c r="H5" s="12" t="inlineStr">
        <is>
          <t>英語に統一された</t>
        </is>
      </c>
      <c r="I5" s="12" t="inlineStr">
        <is>
          <t>1972年の日中国交正常化により両国の交流が活発化し、中国で日本語学習への需要が急増しました。これが「第一次日本語ブーム」と呼ばれる現象です。その後、1978年の改革開放政策でさらに加速しました。</t>
        </is>
      </c>
      <c r="J5" s="12" t="inlineStr">
        <is>
          <t>B：日本語が禁止された事実はありません。C：日本語学校が全廃されたこともありません。D：英語に統一されたわけでもなく、むしろ日本語学習が盛んになりました。</t>
        </is>
      </c>
      <c r="K5" s="12" t="inlineStr">
        <is>
          <t>教程1</t>
        </is>
      </c>
    </row>
    <row r="6" ht="50.1" customHeight="1">
      <c r="A6" s="12" t="n">
        <v>5</v>
      </c>
      <c r="B6" s="12" t="inlineStr">
        <is>
          <t>★★</t>
        </is>
      </c>
      <c r="C6" s="12" t="inlineStr">
        <is>
          <t>韓国で高等学校の第二外国語科目として日本語が導入されたのは何年か。</t>
        </is>
      </c>
      <c r="D6" s="12" t="inlineStr">
        <is>
          <t>B</t>
        </is>
      </c>
      <c r="E6" s="12" t="inlineStr">
        <is>
          <t>1965年</t>
        </is>
      </c>
      <c r="F6" s="12" t="inlineStr">
        <is>
          <t>1973年</t>
        </is>
      </c>
      <c r="G6" s="12" t="inlineStr">
        <is>
          <t>2001年</t>
        </is>
      </c>
      <c r="H6" s="12" t="inlineStr">
        <is>
          <t>1987年</t>
        </is>
      </c>
      <c r="I6" s="12" t="inlineStr">
        <is>
          <t>1973年、韓国の高等学校で第二外国語の選択科目として日本語が導入されました。1965年の日韓国交正常化から8年後のことで、両国の経済・文化交流の進展が背景にあります。</t>
        </is>
      </c>
      <c r="J6" s="12" t="inlineStr">
        <is>
          <t>A：1965年は日韓基本条約（国交正常化）の年であり、日本語教育導入はその後です。C：2001年は韓国の中学校で日本語教育が始まった年です。D：1987年はオーストラリアがLOTE（Languages Other Than English）政策を開始した年です。</t>
        </is>
      </c>
      <c r="K6" s="12" t="inlineStr">
        <is>
          <t>教程1</t>
        </is>
      </c>
    </row>
    <row r="7" ht="50.1" customHeight="1">
      <c r="A7" s="12" t="n">
        <v>6</v>
      </c>
      <c r="B7" s="12" t="inlineStr">
        <is>
          <t>★★</t>
        </is>
      </c>
      <c r="C7" s="12" t="inlineStr">
        <is>
          <t>オーストラリアのLOTE政策（1987年）で指定された優先学習言語は何言語か。</t>
        </is>
      </c>
      <c r="D7" s="12" t="inlineStr">
        <is>
          <t>C</t>
        </is>
      </c>
      <c r="E7" s="12" t="inlineStr">
        <is>
          <t>4言語</t>
        </is>
      </c>
      <c r="F7" s="12" t="inlineStr">
        <is>
          <t>7言語</t>
        </is>
      </c>
      <c r="G7" s="12" t="inlineStr">
        <is>
          <t>9言語</t>
        </is>
      </c>
      <c r="H7" s="12" t="inlineStr">
        <is>
          <t>12言語</t>
        </is>
      </c>
      <c r="I7" s="12" t="inlineStr">
        <is>
          <t>1987年のLOTE政策では、アボリジニ語・アラビア語・中国語・フランス語・ドイツ語・ギリシャ語・インドネシア語・イタリア語・日本語の9言語が優先学習言語に指定されました。多文化主義政策の一環として、英語以外の言語教育を推進する目的がありました。</t>
        </is>
      </c>
      <c r="J7" s="12" t="inlineStr">
        <is>
          <t>A：4言語は後のNALSAS（National Asian Languages and Studies in Australian Schools、1994年）で指定された数です。NALSASでは中国語・日本語・韓国語・インドネシア語の4言語に絞られました。B・D：7言語や12言語という指定はありません。</t>
        </is>
      </c>
      <c r="K7" s="12" t="inlineStr">
        <is>
          <t>教程1</t>
        </is>
      </c>
    </row>
    <row r="8" ht="50.1" customHeight="1">
      <c r="A8" s="12" t="n">
        <v>7</v>
      </c>
      <c r="B8" s="12" t="inlineStr">
        <is>
          <t>★★★</t>
        </is>
      </c>
      <c r="C8" s="12" t="inlineStr">
        <is>
          <t>ベトナムで小学3年生からの日本語教育が試行導入されたのは何年か。</t>
        </is>
      </c>
      <c r="D8" s="12" t="inlineStr">
        <is>
          <t>C</t>
        </is>
      </c>
      <c r="E8" s="12" t="inlineStr">
        <is>
          <t>2003年</t>
        </is>
      </c>
      <c r="F8" s="12" t="inlineStr">
        <is>
          <t>2014年</t>
        </is>
      </c>
      <c r="G8" s="12" t="inlineStr">
        <is>
          <t>2016年</t>
        </is>
      </c>
      <c r="H8" s="12" t="inlineStr">
        <is>
          <t>2019年</t>
        </is>
      </c>
      <c r="I8" s="12" t="inlineStr">
        <is>
          <t>2016年、ベトナムのハノイ市内の小学校で、小学3年生からの日本語教育が第一外国語として試行導入されました。英語以外の言語が初等教育の第一外国語として採用された点が注目されます。</t>
        </is>
      </c>
      <c r="J8" s="12" t="inlineStr">
        <is>
          <t>A：2003年は日越の中等教育における日本語教育プロジェクトが立ち上げられた年です。B：2014年はEPA（経済連携協定）に基づくベトナムからの看護師・介護福祉士候補者の受入れが開始された年です。D：2019年は試行段階から普及段階へ移行した時期です。</t>
        </is>
      </c>
      <c r="K8" s="12" t="inlineStr">
        <is>
          <t>教程1</t>
        </is>
      </c>
    </row>
    <row r="9" ht="50.1" customHeight="1">
      <c r="A9" s="12" t="n">
        <v>8</v>
      </c>
      <c r="B9" s="12" t="inlineStr">
        <is>
          <t>★★</t>
        </is>
      </c>
      <c r="C9" s="12" t="inlineStr">
        <is>
          <t>NALSASで優先学習言語に指定された4言語に含まれないものはどれか。</t>
        </is>
      </c>
      <c r="D9" s="12" t="inlineStr">
        <is>
          <t>C</t>
        </is>
      </c>
      <c r="E9" s="12" t="inlineStr">
        <is>
          <t>中国語</t>
        </is>
      </c>
      <c r="F9" s="12" t="inlineStr">
        <is>
          <t>日本語</t>
        </is>
      </c>
      <c r="G9" s="12" t="inlineStr">
        <is>
          <t>タイ語</t>
        </is>
      </c>
      <c r="H9" s="12" t="inlineStr">
        <is>
          <t>韓国語</t>
        </is>
      </c>
      <c r="I9" s="12" t="inlineStr">
        <is>
          <t>NALSASは1994年にオーストラリア政府が策定した「学校におけるアジア言語・文化学習の国家戦略」です。経済的・地理的に重要なアジア4言語（中国語・日本語・韓国語・インドネシア語）が優先言語に選ばれました。タイ語は含まれていません。</t>
        </is>
      </c>
      <c r="J9" s="12" t="inlineStr">
        <is>
          <t>A：中国語はNALSASの4言語の一つです。B：日本語も4言語の一つです。D：韓国語も4言語の一つです。いずれもオーストラリアにとって経済的・外交的に重要なアジアの言語として選定されました。</t>
        </is>
      </c>
      <c r="K9" s="12" t="inlineStr">
        <is>
          <t>教程1</t>
        </is>
      </c>
    </row>
    <row r="10" ht="50.1" customHeight="1">
      <c r="A10" s="12" t="n">
        <v>9</v>
      </c>
      <c r="B10" s="12" t="inlineStr">
        <is>
          <t>★</t>
        </is>
      </c>
      <c r="C10" s="12" t="inlineStr">
        <is>
          <t>2010年の入管法改正前、日本語学校の学生に与えられていた在留資格は何か。</t>
        </is>
      </c>
      <c r="D10" s="12" t="inlineStr">
        <is>
          <t>B</t>
        </is>
      </c>
      <c r="E10" s="12" t="inlineStr">
        <is>
          <t>研修</t>
        </is>
      </c>
      <c r="F10" s="12" t="inlineStr">
        <is>
          <t>就学</t>
        </is>
      </c>
      <c r="G10" s="12" t="inlineStr">
        <is>
          <t>特定活動</t>
        </is>
      </c>
      <c r="H10" s="12" t="inlineStr">
        <is>
          <t>文化活動</t>
        </is>
      </c>
      <c r="I10" s="12" t="inlineStr">
        <is>
          <t>かつて日本語学校の学生には「就学」、大学等の学生には「留学」と、異なる在留資格が付与されていました。2010年の入管法改正で両者が「留学」に統一され、日本語学校生も「留学」の在留資格を得るようになりました。</t>
        </is>
      </c>
      <c r="J10" s="12" t="inlineStr">
        <is>
          <t>A：「研修」は技術・知識の修得を目的とする在留資格で、日本語学校とは異なります。C：「特定活動」はEPA候補者やワーキングホリデーなど特定の目的に使われる在留資格です。D：「文化活動」は茶道・華道など文化的活動のための在留資格です。</t>
        </is>
      </c>
      <c r="K10" s="12" t="inlineStr">
        <is>
          <t>教程1</t>
        </is>
      </c>
    </row>
    <row r="11" ht="50.1" customHeight="1">
      <c r="A11" s="12" t="n">
        <v>10</v>
      </c>
      <c r="B11" s="12" t="inlineStr">
        <is>
          <t>★</t>
        </is>
      </c>
      <c r="C11" s="12" t="inlineStr">
        <is>
          <t>国内の日本語教育実態調査を実施している機関はどこか（2024年度以降）。</t>
        </is>
      </c>
      <c r="D11" s="12" t="inlineStr">
        <is>
          <t>B</t>
        </is>
      </c>
      <c r="E11" s="12" t="inlineStr">
        <is>
          <t>国際交流基金</t>
        </is>
      </c>
      <c r="F11" s="12" t="inlineStr">
        <is>
          <t>文部科学省</t>
        </is>
      </c>
      <c r="G11" s="12" t="inlineStr">
        <is>
          <t>外務省</t>
        </is>
      </c>
      <c r="H11" s="12" t="inlineStr">
        <is>
          <t>法務省</t>
        </is>
      </c>
      <c r="I11" s="12" t="inlineStr">
        <is>
          <t>2024年度から日本語教育の所管が文化庁から文部科学省に移管されました。それに伴い、国内の日本語教育実態調査も文部科学省が実施することになりました。</t>
        </is>
      </c>
      <c r="J11" s="12" t="inlineStr">
        <is>
          <t>A：国際交流基金が実施するのは「海外日本語教育機関調査」であり、国内調査ではありません。C：外務省は外交関連の業務を担当しており、日本語教育調査は所管外です。D：法務省（出入国在留管理庁）は在留管理を担当しますが、教育調査は行いません。</t>
        </is>
      </c>
      <c r="K11" s="12" t="inlineStr">
        <is>
          <t>教程1</t>
        </is>
      </c>
    </row>
    <row r="12" ht="50.1" customHeight="1">
      <c r="A12" s="12" t="n">
        <v>11</v>
      </c>
      <c r="B12" s="12" t="inlineStr">
        <is>
          <t>★</t>
        </is>
      </c>
      <c r="C12" s="12" t="inlineStr">
        <is>
          <t>世界難民の日（World Refugee Day）はいつか。</t>
        </is>
      </c>
      <c r="D12" s="12" t="inlineStr">
        <is>
          <t>C</t>
        </is>
      </c>
      <c r="E12" s="12" t="inlineStr">
        <is>
          <t>3月21日</t>
        </is>
      </c>
      <c r="F12" s="12" t="inlineStr">
        <is>
          <t>5月1日</t>
        </is>
      </c>
      <c r="G12" s="12" t="inlineStr">
        <is>
          <t>6月20日</t>
        </is>
      </c>
      <c r="H12" s="12" t="inlineStr">
        <is>
          <t>10月24日</t>
        </is>
      </c>
      <c r="I12" s="12" t="inlineStr">
        <is>
          <t>世界難民の日は6月20日で、国連が2000年に制定しました。アフリカ統一機構（OAU）の難民条約採択日（1969年6月20日）に由来しています。世界中で難民問題への理解を深めるための啓発の日です。</t>
        </is>
      </c>
      <c r="J12" s="12" t="inlineStr">
        <is>
          <t>A：3月21日は国際人種差別撤廃デーです。B：5月1日はメーデー（労働者の日）です。D：10月24日は国連デーです。いずれも世界難民の日ではありません。</t>
        </is>
      </c>
      <c r="K12" s="12" t="inlineStr">
        <is>
          <t>教程1</t>
        </is>
      </c>
    </row>
    <row r="13" ht="50.1" customHeight="1">
      <c r="A13" s="12" t="n">
        <v>12</v>
      </c>
      <c r="B13" s="12" t="inlineStr">
        <is>
          <t>★</t>
        </is>
      </c>
      <c r="C13" s="12" t="inlineStr">
        <is>
          <t>SDGsにおける教育目標の達成年限はいつか。</t>
        </is>
      </c>
      <c r="D13" s="12" t="inlineStr">
        <is>
          <t>B</t>
        </is>
      </c>
      <c r="E13" s="12" t="inlineStr">
        <is>
          <t>2025年</t>
        </is>
      </c>
      <c r="F13" s="12" t="inlineStr">
        <is>
          <t>2030年</t>
        </is>
      </c>
      <c r="G13" s="12" t="inlineStr">
        <is>
          <t>2035年</t>
        </is>
      </c>
      <c r="H13" s="12" t="inlineStr">
        <is>
          <t>2050年</t>
        </is>
      </c>
      <c r="I13" s="12" t="inlineStr">
        <is>
          <t>SDGsは2015年の国連サミットで採択された「持続可能な開発のための2030アジェンダ」に含まれる17の目標で、達成期限は2030年です。教育目標（目標4）も2030年までの達成を目指しています。</t>
        </is>
      </c>
      <c r="J13" s="12" t="inlineStr">
        <is>
          <t>A：2025年はSDGsの達成期限ではありません。C：2035年も該当しません。D：2050年はカーボンニュートラルの目標年として知られますが、SDGsの期限ではありません。</t>
        </is>
      </c>
      <c r="K13" s="12" t="inlineStr">
        <is>
          <t>教程1</t>
        </is>
      </c>
    </row>
    <row r="14" ht="50.1" customHeight="1">
      <c r="A14" s="12" t="n">
        <v>13</v>
      </c>
      <c r="B14" s="12" t="inlineStr">
        <is>
          <t>★★★</t>
        </is>
      </c>
      <c r="C14" s="12" t="inlineStr">
        <is>
          <t>タイと日本の経済連携協定（EPA）が締結されたのは何年か。</t>
        </is>
      </c>
      <c r="D14" s="12" t="inlineStr">
        <is>
          <t>C</t>
        </is>
      </c>
      <c r="E14" s="12" t="inlineStr">
        <is>
          <t>1985年</t>
        </is>
      </c>
      <c r="F14" s="12" t="inlineStr">
        <is>
          <t>1997年</t>
        </is>
      </c>
      <c r="G14" s="12" t="inlineStr">
        <is>
          <t>2007年</t>
        </is>
      </c>
      <c r="H14" s="12" t="inlineStr">
        <is>
          <t>2017年</t>
        </is>
      </c>
      <c r="I14" s="12" t="inlineStr">
        <is>
          <t>日タイEPAは2007年に締結され、物品貿易の自由化に加え、サービス貿易、投資、人の移動など幅広い分野での協力を定めています。日本語教育との関連では、EPA枠での人材受入れが注目されます。</t>
        </is>
      </c>
      <c r="J14" s="12" t="inlineStr">
        <is>
          <t>A：1985年はプラザ合意の年で、先進5カ国が為替レート安定のために合意した年です。B：1997年は該当する出来事はありません（アジア通貨危機の年）。D：2017年は日タイ修好130周年に当たる年です。</t>
        </is>
      </c>
      <c r="K14" s="12" t="inlineStr">
        <is>
          <t>教程1</t>
        </is>
      </c>
    </row>
    <row r="15" ht="50.1" customHeight="1">
      <c r="A15" s="12" t="n">
        <v>14</v>
      </c>
      <c r="B15" s="12" t="inlineStr">
        <is>
          <t>★★★</t>
        </is>
      </c>
      <c r="C15" s="12" t="inlineStr">
        <is>
          <t>1980年に中国に設立された日本語教師再教育機関の通称は何か。</t>
        </is>
      </c>
      <c r="D15" s="12" t="inlineStr">
        <is>
          <t>B</t>
        </is>
      </c>
      <c r="E15" s="12" t="inlineStr">
        <is>
          <t>北京日本学研究センター</t>
        </is>
      </c>
      <c r="F15" s="12" t="inlineStr">
        <is>
          <t>大平学校</t>
        </is>
      </c>
      <c r="G15" s="12" t="inlineStr">
        <is>
          <t>芝山巌学堂</t>
        </is>
      </c>
      <c r="H15" s="12" t="inlineStr">
        <is>
          <t>日語学堂</t>
        </is>
      </c>
      <c r="I15" s="12" t="inlineStr">
        <is>
          <t>「大平学校」は大平正芳首相の提案で1980年に設立された日本語教師再教育のための機関です。中国の大学で日本語を教える教師の能力向上を目的とし、日中間の教育協力の象徴的事業でした。正式名称は「日本語研修センター」です。</t>
        </is>
      </c>
      <c r="J15" s="12" t="inlineStr">
        <is>
          <t>A：北京日本学研究センターは1985年に発足した日本研究の拠点で、大平学校とは別の機関です。C：芝山巌学堂は1895年に伊沢修二が台湾に設立した日本語教育機関です。D：日語学堂は1891年に岡倉由三郎が朝鮮半島に開設した日本語教育機関です。</t>
        </is>
      </c>
      <c r="K15" s="12" t="inlineStr">
        <is>
          <t>教程1</t>
        </is>
      </c>
    </row>
    <row r="16" ht="50.1" customHeight="1">
      <c r="A16" s="12" t="n">
        <v>15</v>
      </c>
      <c r="B16" s="12" t="inlineStr">
        <is>
          <t>★</t>
        </is>
      </c>
      <c r="C16" s="12" t="inlineStr">
        <is>
          <t>1970年代後半以降に来日した外国人のことを何と言うか。</t>
        </is>
      </c>
      <c r="D16" s="12" t="inlineStr">
        <is>
          <t>B</t>
        </is>
      </c>
      <c r="E16" s="12" t="inlineStr">
        <is>
          <t>オールドカマー</t>
        </is>
      </c>
      <c r="F16" s="12" t="inlineStr">
        <is>
          <t>ニューカマー</t>
        </is>
      </c>
      <c r="G16" s="12" t="inlineStr">
        <is>
          <t>ゲストワーカー</t>
        </is>
      </c>
      <c r="H16" s="12" t="inlineStr">
        <is>
          <t>日系人</t>
        </is>
      </c>
      <c r="I16" s="12" t="inlineStr">
        <is>
          <t>ニューカマーとは、1970年代後半以降に新たに来日した外国人の総称です。インドシナ難民（1970年代後半〜）、中国帰国者、日系南米人（1990年入管法改正後）、留学生、技能実習生など多様な背景を持つ人々が含まれます。</t>
        </is>
      </c>
      <c r="J16" s="12" t="inlineStr">
        <is>
          <t>A：オールドカマーは主に戦前・戦中に日本に移住し、定住した在日コリアンや在日中国人などを指します。B：ゲストワーカーは主にドイツなどヨーロッパで使われた外国人労働者の呼称です。D：日系人は日本にルーツを持つ海外移住者やその子孫を指す用語です。</t>
        </is>
      </c>
      <c r="K16" s="12" t="inlineStr">
        <is>
          <t>教程2</t>
        </is>
      </c>
    </row>
    <row r="17" ht="50.1" customHeight="1">
      <c r="A17" s="12" t="n">
        <v>16</v>
      </c>
      <c r="B17" s="12" t="inlineStr">
        <is>
          <t>★</t>
        </is>
      </c>
      <c r="C17" s="12" t="inlineStr">
        <is>
          <t>インドシナ3国に含まれない国はどれか。</t>
        </is>
      </c>
      <c r="D17" s="12" t="inlineStr">
        <is>
          <t>D</t>
        </is>
      </c>
      <c r="E17" s="12" t="inlineStr">
        <is>
          <t>ベトナム</t>
        </is>
      </c>
      <c r="F17" s="12" t="inlineStr">
        <is>
          <t>カンボジア</t>
        </is>
      </c>
      <c r="G17" s="12" t="inlineStr">
        <is>
          <t>ラオス</t>
        </is>
      </c>
      <c r="H17" s="12" t="inlineStr">
        <is>
          <t>タイ</t>
        </is>
      </c>
      <c r="I17" s="12" t="inlineStr">
        <is>
          <t>インドシナ3国はベトナム・カンボジア・ラオスです。1975年のベトナム戦争終結後、共産主義政権の成立に伴い大量の難民が発生しました。タイは地理的にインドシナ半島にありますが、「インドシナ3国」という用語には含まれません。</t>
        </is>
      </c>
      <c r="J17" s="12" t="inlineStr">
        <is>
          <t>A：ベトナムはインドシナ3国の一つです（1975年のサイゴン陥落後、多数のボート・ピープルが発生）。B：カンボジアもインドシナ3国の一つです（クメール・ルージュ政権下で難民が発生）。C：ラオスもインドシナ3国の一つです。</t>
        </is>
      </c>
      <c r="K17" s="12" t="inlineStr">
        <is>
          <t>教程2</t>
        </is>
      </c>
    </row>
    <row r="18" ht="50.1" customHeight="1">
      <c r="A18" s="12" t="n">
        <v>17</v>
      </c>
      <c r="B18" s="12" t="inlineStr">
        <is>
          <t>★★</t>
        </is>
      </c>
      <c r="C18" s="12" t="inlineStr">
        <is>
          <t>日本が難民条約に加盟したのは何年か。</t>
        </is>
      </c>
      <c r="D18" s="12" t="inlineStr">
        <is>
          <t>C</t>
        </is>
      </c>
      <c r="E18" s="12" t="inlineStr">
        <is>
          <t>1975年</t>
        </is>
      </c>
      <c r="F18" s="12" t="inlineStr">
        <is>
          <t>1979年</t>
        </is>
      </c>
      <c r="G18" s="12" t="inlineStr">
        <is>
          <t>1981年</t>
        </is>
      </c>
      <c r="H18" s="12" t="inlineStr">
        <is>
          <t>1990年</t>
        </is>
      </c>
      <c r="I18" s="12" t="inlineStr">
        <is>
          <t>日本は1981年に難民条約に加盟し、翌1982年に発効しました。これに伴い出入国管理令が「出入国管理及び難民認定法」に改正され、難民認定制度が新設されました。社会保障制度の国籍条項撤廃など、外国人の権利保障にも影響を与えました。</t>
        </is>
      </c>
      <c r="J18" s="12" t="inlineStr">
        <is>
          <t>A：1975年はベトナム戦争が終結した年で、インドシナ難民が発生し始めた時期です。B：1979年はODP（合法出国計画）が開始された年です。D：1990年は改正入管法が施行され、日系人に「定住者」の在留資格が付与された年です。</t>
        </is>
      </c>
      <c r="K18" s="12" t="inlineStr">
        <is>
          <t>教程2</t>
        </is>
      </c>
    </row>
    <row r="19" ht="50.1" customHeight="1">
      <c r="A19" s="12" t="n">
        <v>18</v>
      </c>
      <c r="B19" s="12" t="inlineStr">
        <is>
          <t>★</t>
        </is>
      </c>
      <c r="C19" s="12" t="inlineStr">
        <is>
          <t>中国帰国者とは何を指すか。</t>
        </is>
      </c>
      <c r="D19" s="12" t="inlineStr">
        <is>
          <t>B</t>
        </is>
      </c>
      <c r="E19" s="12" t="inlineStr">
        <is>
          <t>中国から帰化した日本人</t>
        </is>
      </c>
      <c r="F19" s="12" t="inlineStr">
        <is>
          <t>中国残留孤児・残留婦人とその呼び寄せ家族の総称</t>
        </is>
      </c>
      <c r="G19" s="12" t="inlineStr">
        <is>
          <t>中国に留学した日本人</t>
        </is>
      </c>
      <c r="H19" s="12" t="inlineStr">
        <is>
          <t>中国で働く日本人駐在員</t>
        </is>
      </c>
      <c r="I19" s="12" t="inlineStr">
        <is>
          <t>中国帰国者は、戦後の混乱で中国に取り残された「中国残留孤児」（当時子どもだった人）と「中国残留婦人」（現地で結婚した女性）、およびその呼び寄せ家族を総称する用語です。日本語が話せない状態で帰国するため、日本語教育支援が重要な課題となっています。</t>
        </is>
      </c>
      <c r="J19" s="12" t="inlineStr">
        <is>
          <t>A：中国帰国者は帰化した人ではなく、元々日本国籍を持つ残留孤児・残留婦人とその家族です。C：中国に留学した日本人は中国帰国者には該当しません。D：中国駐在員も中国帰国者とは全く異なる存在です。</t>
        </is>
      </c>
      <c r="K19" s="12" t="inlineStr">
        <is>
          <t>教程2</t>
        </is>
      </c>
    </row>
    <row r="20" ht="50.1" customHeight="1">
      <c r="A20" s="12" t="n">
        <v>19</v>
      </c>
      <c r="B20" s="12" t="inlineStr">
        <is>
          <t>★★</t>
        </is>
      </c>
      <c r="C20" s="12" t="inlineStr">
        <is>
          <t>南米日系人の集住地域として正しくないものはどれか。</t>
        </is>
      </c>
      <c r="D20" s="12" t="inlineStr">
        <is>
          <t>C</t>
        </is>
      </c>
      <c r="E20" s="12" t="inlineStr">
        <is>
          <t>群馬県太田市</t>
        </is>
      </c>
      <c r="F20" s="12" t="inlineStr">
        <is>
          <t>愛知県豊田市</t>
        </is>
      </c>
      <c r="G20" s="12" t="inlineStr">
        <is>
          <t>東京都新宿区</t>
        </is>
      </c>
      <c r="H20" s="12" t="inlineStr">
        <is>
          <t>静岡県浜松市</t>
        </is>
      </c>
      <c r="I20" s="12" t="inlineStr">
        <is>
          <t>1990年の入管法改正で日系人に「定住者」の在留資格が付与されて以降、自動車産業や電機産業などの製造業が盛んな地域に日系ブラジル人・日系ペルー人が集住するようになりました。東京都新宿区は外国人が多い地域ですが、南米日系人の集住地域ではありません。</t>
        </is>
      </c>
      <c r="J20" s="12" t="inlineStr">
        <is>
          <t>A：群馬県太田市は自動車産業（SUBARU）があり、日系人の集住地域です。B：愛知県豊田市はトヨタ自動車の本拠地で、日系人労働者が多数居住しています。D：静岡県浜松市は外国人集住都市会議の第1回開催地でもあり、代表的な集住地域です。</t>
        </is>
      </c>
      <c r="K20" s="12" t="inlineStr">
        <is>
          <t>教程2</t>
        </is>
      </c>
    </row>
    <row r="21" ht="50.1" customHeight="1">
      <c r="A21" s="12" t="n">
        <v>20</v>
      </c>
      <c r="B21" s="12" t="inlineStr">
        <is>
          <t>★</t>
        </is>
      </c>
      <c r="C21" s="12" t="inlineStr">
        <is>
          <t>在留資格「特定技能」が創設されたのは何年か。</t>
        </is>
      </c>
      <c r="D21" s="12" t="inlineStr">
        <is>
          <t>C</t>
        </is>
      </c>
      <c r="E21" s="12" t="inlineStr">
        <is>
          <t>2017年</t>
        </is>
      </c>
      <c r="F21" s="12" t="inlineStr">
        <is>
          <t>2018年</t>
        </is>
      </c>
      <c r="G21" s="12" t="inlineStr">
        <is>
          <t>2019年</t>
        </is>
      </c>
      <c r="H21" s="12" t="inlineStr">
        <is>
          <t>2020年</t>
        </is>
      </c>
      <c r="I21" s="12" t="inlineStr">
        <is>
          <t>2018年12月に改正出入国管理法が成立し、2019年4月から在留資格「特定技能」が施行されました。従来の技能実習制度とは異なり、即戦力となる外国人材の受入れを目的とした新たな在留資格です。</t>
        </is>
      </c>
      <c r="J21" s="12" t="inlineStr">
        <is>
          <t>A：2017年は技能実習法（外国人技能実習適正化法）が施行された年です。B：2018年12月は改正入管法が国会で成立した年ですが、施行は2019年4月です。D：2020年は施行後であり、創設年ではありません。</t>
        </is>
      </c>
      <c r="K21" s="12" t="inlineStr">
        <is>
          <t>教程2</t>
        </is>
      </c>
    </row>
    <row r="22" ht="50.1" customHeight="1">
      <c r="A22" s="12" t="n">
        <v>21</v>
      </c>
      <c r="B22" s="12" t="inlineStr">
        <is>
          <t>★</t>
        </is>
      </c>
      <c r="C22" s="12" t="inlineStr">
        <is>
          <t>特定技能1号の在留期間の上限はどれか。</t>
        </is>
      </c>
      <c r="D22" s="12" t="inlineStr">
        <is>
          <t>B</t>
        </is>
      </c>
      <c r="E22" s="12" t="inlineStr">
        <is>
          <t>3年</t>
        </is>
      </c>
      <c r="F22" s="12" t="inlineStr">
        <is>
          <t>5年</t>
        </is>
      </c>
      <c r="G22" s="12" t="inlineStr">
        <is>
          <t>10年</t>
        </is>
      </c>
      <c r="H22" s="12" t="inlineStr">
        <is>
          <t>上限なし</t>
        </is>
      </c>
      <c r="I22" s="12" t="inlineStr">
        <is>
          <t>特定技能1号は通算5年の在留期間上限があり、家族帯同不可という制限があります。これは技能実習からのステップアップを想定しつつも、永住に直結しない制度設計となっているためです。</t>
        </is>
      </c>
      <c r="J22" s="12" t="inlineStr">
        <is>
          <t>A：3年は技能実習2号の期間です。C：10年という上限は設定されていません。D：上限なしは特定技能2号の特徴で、1号には当てはまりません。特定技能2号は熟練した技能を持つ外国人向けで、在留期間の更新に上限がありません。</t>
        </is>
      </c>
      <c r="K22" s="12" t="inlineStr">
        <is>
          <t>教程2</t>
        </is>
      </c>
    </row>
    <row r="23" ht="50.1" customHeight="1">
      <c r="A23" s="12" t="n">
        <v>22</v>
      </c>
      <c r="B23" s="12" t="inlineStr">
        <is>
          <t>★★</t>
        </is>
      </c>
      <c r="C23" s="12" t="inlineStr">
        <is>
          <t>特定技能2号の対象から除かれている分野はどれか。</t>
        </is>
      </c>
      <c r="D23" s="12" t="inlineStr">
        <is>
          <t>B</t>
        </is>
      </c>
      <c r="E23" s="12" t="inlineStr">
        <is>
          <t>建設</t>
        </is>
      </c>
      <c r="F23" s="12" t="inlineStr">
        <is>
          <t>介護</t>
        </is>
      </c>
      <c r="G23" s="12" t="inlineStr">
        <is>
          <t>農業</t>
        </is>
      </c>
      <c r="H23" s="12" t="inlineStr">
        <is>
          <t>宿泊</t>
        </is>
      </c>
      <c r="I23" s="12" t="inlineStr">
        <is>
          <t>介護分野は特定技能1号の対象ですが、2号の対象からは除外されています。理由は、2017年に創設された在留資格「介護」（介護福祉士の資格取得者向け）が既に存在し、そちらで在留期間の更新や家族帯同が可能なためです。</t>
        </is>
      </c>
      <c r="J23" s="12" t="inlineStr">
        <is>
          <t>A：建設分野は特定技能2号の対象です。C：農業分野も2023年に特定技能2号の対象に追加されました。D：宿泊分野も2号の対象に追加されています。2023年の閣議決定で、介護を除く全分野が2号の対象となりました。</t>
        </is>
      </c>
      <c r="K23" s="12" t="inlineStr">
        <is>
          <t>教程2</t>
        </is>
      </c>
    </row>
    <row r="24" ht="50.1" customHeight="1">
      <c r="A24" s="12" t="n">
        <v>23</v>
      </c>
      <c r="B24" s="12" t="inlineStr">
        <is>
          <t>★★</t>
        </is>
      </c>
      <c r="C24" s="12" t="inlineStr">
        <is>
          <t>「日本語教育の推進に関する法律」が公布・施行されたのはいつか。</t>
        </is>
      </c>
      <c r="D24" s="12" t="inlineStr">
        <is>
          <t>C</t>
        </is>
      </c>
      <c r="E24" s="12" t="inlineStr">
        <is>
          <t>2017年6月</t>
        </is>
      </c>
      <c r="F24" s="12" t="inlineStr">
        <is>
          <t>2018年12月</t>
        </is>
      </c>
      <c r="G24" s="12" t="inlineStr">
        <is>
          <t>2019年6月</t>
        </is>
      </c>
      <c r="H24" s="12" t="inlineStr">
        <is>
          <t>2020年4月</t>
        </is>
      </c>
      <c r="I24" s="12" t="inlineStr">
        <is>
          <t>日本語教育推進法は2019年6月に公布・施行された、日本語教育に関する初の法律です。外国人の日本語教育を受ける機会の確保、日本語教育の水準向上、日本語教師の資質向上などを基本理念として掲げています。</t>
        </is>
      </c>
      <c r="J24" s="12" t="inlineStr">
        <is>
          <t>A：2017年6月には該当する法律はありません。B：2018年12月は改正入管法（特定技能の在留資格創設）の成立時期です。D：2020年4月は該当しません。</t>
        </is>
      </c>
      <c r="K24" s="12" t="inlineStr">
        <is>
          <t>教程2</t>
        </is>
      </c>
    </row>
    <row r="25" ht="50.1" customHeight="1">
      <c r="A25" s="12" t="n">
        <v>24</v>
      </c>
      <c r="B25" s="12" t="inlineStr">
        <is>
          <t>★★★</t>
        </is>
      </c>
      <c r="C25" s="12" t="inlineStr">
        <is>
          <t>「外国人との共生社会の実現に向けたロードマップ」の目標年度はいつまでか。</t>
        </is>
      </c>
      <c r="D25" s="12" t="inlineStr">
        <is>
          <t>C</t>
        </is>
      </c>
      <c r="E25" s="12" t="inlineStr">
        <is>
          <t>2024年度</t>
        </is>
      </c>
      <c r="F25" s="12" t="inlineStr">
        <is>
          <t>2025年度</t>
        </is>
      </c>
      <c r="G25" s="12" t="inlineStr">
        <is>
          <t>2026年度</t>
        </is>
      </c>
      <c r="H25" s="12" t="inlineStr">
        <is>
          <t>2030年度</t>
        </is>
      </c>
      <c r="I25" s="12" t="inlineStr">
        <is>
          <t>このロードマップは2022年に策定され、外国人との共生社会実現のための具体的施策と工程表を示しています。目標年度は2026年度で、日本語教育の充実、外国人の生活環境整備、社会参画促進などの施策が盛り込まれています。</t>
        </is>
      </c>
      <c r="J25" s="12" t="inlineStr">
        <is>
          <t>A：2024年度は目標年度ではありません。B：2025年度も目標年度ではありません。D：2030年度はSDGsの達成期限であり、このロードマップの目標年度ではありません。</t>
        </is>
      </c>
      <c r="K25" s="12" t="inlineStr">
        <is>
          <t>教程2</t>
        </is>
      </c>
    </row>
    <row r="26" ht="50.1" customHeight="1">
      <c r="A26" s="12" t="n">
        <v>25</v>
      </c>
      <c r="B26" s="12" t="inlineStr">
        <is>
          <t>★★</t>
        </is>
      </c>
      <c r="C26" s="12" t="inlineStr">
        <is>
          <t>「日本語教育の参照枠」の言語教育観の柱に含まれないものはどれか。</t>
        </is>
      </c>
      <c r="D26" s="12" t="inlineStr">
        <is>
          <t>D</t>
        </is>
      </c>
      <c r="E26" s="12" t="inlineStr">
        <is>
          <t>日本語学習者を社会的存在として捉える</t>
        </is>
      </c>
      <c r="F26" s="12" t="inlineStr">
        <is>
          <t>言語を使って「できること」に注目する</t>
        </is>
      </c>
      <c r="G26" s="12" t="inlineStr">
        <is>
          <t>多様な日本語使用を尊重する</t>
        </is>
      </c>
      <c r="H26" s="12" t="inlineStr">
        <is>
          <t>文法の正確さを最優先する</t>
        </is>
      </c>
      <c r="I26" s="12" t="inlineStr">
        <is>
          <t>日本語教育の参照枠は、CEFRの理念を踏まえ、「学習者を社会的存在として捉える」「Can-do（できること）に注目する」「多様な日本語使用を尊重する」の3つを言語教育観の柱としています。文法の正確さよりもコミュニケーション能力を重視する考え方です。</t>
        </is>
      </c>
      <c r="J26" s="12" t="inlineStr">
        <is>
          <t>A：「日本語学習者を社会的存在として捉える」は3つの柱の一つです。B：「言語を使ってできることに注目する」も柱の一つで、Can-doの考え方に基づきます。C：「多様な日本語使用を尊重する」も柱の一つで、「正しい日本語」を一つに限定しない考え方です。</t>
        </is>
      </c>
      <c r="K26" s="12" t="inlineStr">
        <is>
          <t>教程2</t>
        </is>
      </c>
    </row>
    <row r="27" ht="50.1" customHeight="1">
      <c r="A27" s="12" t="n">
        <v>26</v>
      </c>
      <c r="B27" s="12" t="inlineStr">
        <is>
          <t>★</t>
        </is>
      </c>
      <c r="C27" s="12" t="inlineStr">
        <is>
          <t>「生活者としての外国人」のための日本語教育の目的は何か。</t>
        </is>
      </c>
      <c r="D27" s="12" t="inlineStr">
        <is>
          <t>B</t>
        </is>
      </c>
      <c r="E27" s="12" t="inlineStr">
        <is>
          <t>JLPT N1合格</t>
        </is>
      </c>
      <c r="F27" s="12" t="inlineStr">
        <is>
          <t>日本語で意思疎通を図り生活できるようになること</t>
        </is>
      </c>
      <c r="G27" s="12" t="inlineStr">
        <is>
          <t>大学進学</t>
        </is>
      </c>
      <c r="H27" s="12" t="inlineStr">
        <is>
          <t>日本語教師資格取得</t>
        </is>
      </c>
      <c r="I27" s="12" t="inlineStr">
        <is>
          <t>文化庁が推進する「生活者としての外国人」のための日本語教育は、日本社会で自立した日常生活を送るために必要な日本語能力の習得を目的としています。買い物、病院、役所手続き、子どもの学校対応など、生活場面でのコミュニケーション能力の育成を重視しています。</t>
        </is>
      </c>
      <c r="J27" s="12" t="inlineStr">
        <is>
          <t>A：JLPT N1合格は日本語能力の証明としては重要ですが、生活者としての外国人への日本語教育の目的ではありません。C：大学進学は留学生向けの日本語教育の目的です。D：日本語教師資格取得は教師養成の目的です。</t>
        </is>
      </c>
      <c r="K27" s="12" t="inlineStr">
        <is>
          <t>教程2</t>
        </is>
      </c>
    </row>
    <row r="28" ht="50.1" customHeight="1">
      <c r="A28" s="12" t="n">
        <v>27</v>
      </c>
      <c r="B28" s="12" t="inlineStr">
        <is>
          <t>★★</t>
        </is>
      </c>
      <c r="C28" s="12" t="inlineStr">
        <is>
          <t>地域日本語教育のコーディネーターの役割に含まれないものはどれか。</t>
        </is>
      </c>
      <c r="D28" s="12" t="inlineStr">
        <is>
          <t>C</t>
        </is>
      </c>
      <c r="E28" s="12" t="inlineStr">
        <is>
          <t>住民の参加促進</t>
        </is>
      </c>
      <c r="F28" s="12" t="inlineStr">
        <is>
          <t>対話・協働の推進</t>
        </is>
      </c>
      <c r="G28" s="12" t="inlineStr">
        <is>
          <t>JLPT採点</t>
        </is>
      </c>
      <c r="H28" s="12" t="inlineStr">
        <is>
          <t>連携・ネットワークの推進</t>
        </is>
      </c>
      <c r="I28" s="12" t="inlineStr">
        <is>
          <t>地域日本語教育コーディネーターは、地域の日本語教育体制を構築・運営する専門人材です。日本人住民と外国人住民の対話促進、ボランティアとの協働、行政・NPO・教育機関との連携など、地域全体の日本語教育をコーディネートする役割を担っています。</t>
        </is>
      </c>
      <c r="J28" s="12" t="inlineStr">
        <is>
          <t>A：住民の参加促進はコーディネーターの重要な役割の一つです。B：対話・協働の推進も役割に含まれます。D：連携・ネットワークの推進も含まれ、行政・NPO・学校・企業などとの連携を図ります。</t>
        </is>
      </c>
      <c r="K28" s="12" t="inlineStr">
        <is>
          <t>教程2</t>
        </is>
      </c>
    </row>
    <row r="29" ht="50.1" customHeight="1">
      <c r="A29" s="12" t="n">
        <v>28</v>
      </c>
      <c r="B29" s="12" t="inlineStr">
        <is>
          <t>★★</t>
        </is>
      </c>
      <c r="C29" s="12" t="inlineStr">
        <is>
          <t>1990年の入管法施行で日系人に与えられた在留資格は何か。</t>
        </is>
      </c>
      <c r="D29" s="12" t="inlineStr">
        <is>
          <t>B</t>
        </is>
      </c>
      <c r="E29" s="12" t="inlineStr">
        <is>
          <t>永住者</t>
        </is>
      </c>
      <c r="F29" s="12" t="inlineStr">
        <is>
          <t>定住者</t>
        </is>
      </c>
      <c r="G29" s="12" t="inlineStr">
        <is>
          <t>特定活動</t>
        </is>
      </c>
      <c r="H29" s="12" t="inlineStr">
        <is>
          <t>技能実習</t>
        </is>
      </c>
      <c r="I29" s="12" t="inlineStr">
        <is>
          <t>1990年6月施行の改正入管法で、日系2世・3世に在留資格「定住者」が認められました。「定住者」は就労制限がないため、工場労働などに従事できるようになり、バブル期の人手不足と相まって多くの日系人が来日しました。</t>
        </is>
      </c>
      <c r="J29" s="12" t="inlineStr">
        <is>
          <t>A：「永住者」は長期在留の外国人に与えられる在留資格で、1990年の入管法改正で日系人に付与されたのは「定住者」です。C：「特定活動」はEPA候補者等のための在留資格です。D：「技能実習」は1993年に発足した制度の在留資格です。</t>
        </is>
      </c>
      <c r="K29" s="12" t="inlineStr">
        <is>
          <t>教程2</t>
        </is>
      </c>
    </row>
    <row r="30" ht="50.1" customHeight="1">
      <c r="A30" s="12" t="n">
        <v>29</v>
      </c>
      <c r="B30" s="12" t="inlineStr">
        <is>
          <t>★</t>
        </is>
      </c>
      <c r="C30" s="12" t="inlineStr">
        <is>
          <t>日本語教育の歴史で、20世紀初〜1945年の時期を何と呼ぶか。</t>
        </is>
      </c>
      <c r="D30" s="12" t="inlineStr">
        <is>
          <t>B</t>
        </is>
      </c>
      <c r="E30" s="12" t="inlineStr">
        <is>
          <t>日本語学習期</t>
        </is>
      </c>
      <c r="F30" s="12" t="inlineStr">
        <is>
          <t>国語（日本語）教育期</t>
        </is>
      </c>
      <c r="G30" s="12" t="inlineStr">
        <is>
          <t>日本語教育期</t>
        </is>
      </c>
      <c r="H30" s="12" t="inlineStr">
        <is>
          <t>日本語普及期</t>
        </is>
      </c>
      <c r="I30" s="12" t="inlineStr">
        <is>
          <t>20世紀初頭から1945年の終戦までの時期は「国語（日本語）教育期」と呼ばれます。台湾（1895年〜）、朝鮮半島（1910年〜）、満州国（1932年〜）、南洋諸島などの植民地・占領地で、日本語を「国語」として教えた時代です。同化政策の一環としての教育でした。</t>
        </is>
      </c>
      <c r="J30" s="12" t="inlineStr">
        <is>
          <t>A：「日本語学習期」は19世紀末までの時期で、キリスト教宣教師や蘭学者など外国人が自発的に日本語を学んだ時代です。C：「日本語教育期」は1945年以降、外国語としての日本語教育が確立・発展した時代です。D：「日本語普及期」という区分は一般的に使われていません。</t>
        </is>
      </c>
      <c r="K30" s="12" t="inlineStr">
        <is>
          <t>教程3</t>
        </is>
      </c>
    </row>
    <row r="31" ht="50.1" customHeight="1">
      <c r="A31" s="12" t="n">
        <v>30</v>
      </c>
      <c r="B31" s="12" t="inlineStr">
        <is>
          <t>★★</t>
        </is>
      </c>
      <c r="C31" s="12" t="inlineStr">
        <is>
          <t>台湾で芝山巌学堂を創立した人物は誰か。</t>
        </is>
      </c>
      <c r="D31" s="12" t="inlineStr">
        <is>
          <t>B</t>
        </is>
      </c>
      <c r="E31" s="12" t="inlineStr">
        <is>
          <t>山口喜一郎</t>
        </is>
      </c>
      <c r="F31" s="12" t="inlineStr">
        <is>
          <t>伊沢修二</t>
        </is>
      </c>
      <c r="G31" s="12" t="inlineStr">
        <is>
          <t>岡倉由三郎</t>
        </is>
      </c>
      <c r="H31" s="12" t="inlineStr">
        <is>
          <t>大出正篤</t>
        </is>
      </c>
      <c r="I31" s="12" t="inlineStr">
        <is>
          <t>伊沢修二は台湾総督府の学務部長として1895年に芝山巌学堂を設立し、台湾人への日本語教育を開始しました。彼は「国語（日本語）」教育を通じた同化政策を推進した人物で、日本の植民地における日本語教育の先駆者です。</t>
        </is>
      </c>
      <c r="J31" s="12" t="inlineStr">
        <is>
          <t>A：山口喜一郎はグアン・メソッド（グアン式教授法）を改良して独自の直接法による日本語教授法を開発した人物です。C：岡倉由三郎は1891年に朝鮮半島で日語学堂を開設した人物です。D：大出正篤は満州国で速成式の日本語教材を開発した人物です。</t>
        </is>
      </c>
      <c r="K31" s="12" t="inlineStr">
        <is>
          <t>教程3</t>
        </is>
      </c>
    </row>
    <row r="32" ht="50.1" customHeight="1">
      <c r="A32" s="12" t="n">
        <v>31</v>
      </c>
      <c r="B32" s="12" t="inlineStr">
        <is>
          <t>★★</t>
        </is>
      </c>
      <c r="C32" s="12" t="inlineStr">
        <is>
          <t>グアン・メソッドを改良して独自の教授法を開発した人物は誰か。</t>
        </is>
      </c>
      <c r="D32" s="12" t="inlineStr">
        <is>
          <t>C</t>
        </is>
      </c>
      <c r="E32" s="12" t="inlineStr">
        <is>
          <t>伊沢修二</t>
        </is>
      </c>
      <c r="F32" s="12" t="inlineStr">
        <is>
          <t>岡倉由三郎</t>
        </is>
      </c>
      <c r="G32" s="12" t="inlineStr">
        <is>
          <t>山口喜一郎</t>
        </is>
      </c>
      <c r="H32" s="12" t="inlineStr">
        <is>
          <t>大出正篤</t>
        </is>
      </c>
      <c r="I32" s="12" t="inlineStr">
        <is>
          <t>山口喜一郎はグアン・メソッド（一連の動作を順序立てて示しながら言語を教える方法）を台湾の日本語教育に応用・改良しました。媒介語を使わない直接法で、動作と言葉を結びつけることで効果的な教育を実現しました。</t>
        </is>
      </c>
      <c r="J32" s="12" t="inlineStr">
        <is>
          <t>A：伊沢修二は芝山巌学堂の創立者であり、グアン・メソッドの改良者ではありません。B：岡倉由三郎は朝鮮半島で日語学堂を開いた人物です。D：大出正篤は満州国で速成式教材を開発した人物で、グアン・メソッドとは関係ありません。</t>
        </is>
      </c>
      <c r="K32" s="12" t="inlineStr">
        <is>
          <t>教程3</t>
        </is>
      </c>
    </row>
    <row r="33" ht="50.1" customHeight="1">
      <c r="A33" s="12" t="n">
        <v>32</v>
      </c>
      <c r="B33" s="12" t="inlineStr">
        <is>
          <t>★★</t>
        </is>
      </c>
      <c r="C33" s="12" t="inlineStr">
        <is>
          <t>1891年に朝鮮半島に日語学堂を開いた人物は誰か。</t>
        </is>
      </c>
      <c r="D33" s="12" t="inlineStr">
        <is>
          <t>C</t>
        </is>
      </c>
      <c r="E33" s="12" t="inlineStr">
        <is>
          <t>山口喜一郎</t>
        </is>
      </c>
      <c r="F33" s="12" t="inlineStr">
        <is>
          <t>伊沢修二</t>
        </is>
      </c>
      <c r="G33" s="12" t="inlineStr">
        <is>
          <t>岡倉由三郎</t>
        </is>
      </c>
      <c r="H33" s="12" t="inlineStr">
        <is>
          <t>大出正篤</t>
        </is>
      </c>
      <c r="I33" s="12" t="inlineStr">
        <is>
          <t>岡倉由三郎は1891年に朝鮮半島（釜山）に日語学堂を開き、韓国人への日本語教育を開始しました。1910年の韓国併合以前の活動であり、植民地化に先立つ日本語教育の展開として重要です。</t>
        </is>
      </c>
      <c r="J33" s="12" t="inlineStr">
        <is>
          <t>A：山口喜一郎は台湾でグアン・メソッドを改良した人物です。B：伊沢修二も台湾（芝山巌学堂）の人物です。D：大出正篤は満州国で活動した日本語教育者です。</t>
        </is>
      </c>
      <c r="K33" s="12" t="inlineStr">
        <is>
          <t>教程3</t>
        </is>
      </c>
    </row>
    <row r="34" ht="50.1" customHeight="1">
      <c r="A34" s="12" t="n">
        <v>33</v>
      </c>
      <c r="B34" s="12" t="inlineStr">
        <is>
          <t>★</t>
        </is>
      </c>
      <c r="C34" s="12" t="inlineStr">
        <is>
          <t>1919年に朝鮮半島で起きた民族独立運動を何と言うか。</t>
        </is>
      </c>
      <c r="D34" s="12" t="inlineStr">
        <is>
          <t>B</t>
        </is>
      </c>
      <c r="E34" s="12" t="inlineStr">
        <is>
          <t>辛亥革命</t>
        </is>
      </c>
      <c r="F34" s="12" t="inlineStr">
        <is>
          <t>三・一独立運動</t>
        </is>
      </c>
      <c r="G34" s="12" t="inlineStr">
        <is>
          <t>五・四運動</t>
        </is>
      </c>
      <c r="H34" s="12" t="inlineStr">
        <is>
          <t>甲午農民戦争</t>
        </is>
      </c>
      <c r="I34" s="12" t="inlineStr">
        <is>
          <t>三・一独立運動は1919年3月1日に朝鮮半島で起きた大規模な独立運動です。この運動をきっかけに、日本の朝鮮統治は武力による「武断政治」から「文化政治」へと転換し、朝鮮語教育の取扱いにも変化が生じました。</t>
        </is>
      </c>
      <c r="J34" s="12" t="inlineStr">
        <is>
          <t>A：辛亥革命は1911年に中国で起きた革命で、清朝が倒れて中華民国が成立しました。C：五・四運動は1919年に中国で起きた反日・反帝国主義運動で、朝鮮半島の運動ではありません。D：甲午農民戦争（東学農民運動）は1894年の朝鮮半島での農民反乱です。</t>
        </is>
      </c>
      <c r="K34" s="12" t="inlineStr">
        <is>
          <t>教程3</t>
        </is>
      </c>
    </row>
    <row r="35" ht="50.1" customHeight="1">
      <c r="A35" s="12" t="n">
        <v>34</v>
      </c>
      <c r="B35" s="12" t="inlineStr">
        <is>
          <t>★★</t>
        </is>
      </c>
      <c r="C35" s="12" t="inlineStr">
        <is>
          <t>満州国の建国の理念は何か。</t>
        </is>
      </c>
      <c r="D35" s="12" t="inlineStr">
        <is>
          <t>B</t>
        </is>
      </c>
      <c r="E35" s="12" t="inlineStr">
        <is>
          <t>八紘一宇</t>
        </is>
      </c>
      <c r="F35" s="12" t="inlineStr">
        <is>
          <t>五族協和</t>
        </is>
      </c>
      <c r="G35" s="12" t="inlineStr">
        <is>
          <t>大東亜共栄</t>
        </is>
      </c>
      <c r="H35" s="12" t="inlineStr">
        <is>
          <t>富国強兵</t>
        </is>
      </c>
      <c r="I35" s="12" t="inlineStr">
        <is>
          <t>「五族協和」は満州国の建国理念で、日本人・漢人（漢民族）・朝鮮人・満州人（満洲族）・蒙古人（モンゴル族）の5つの民族が協力して国を作るという思想です。日本語は「国語」ではなく、公用語の一つとして位置づけられました。</t>
        </is>
      </c>
      <c r="J35" s="12" t="inlineStr">
        <is>
          <t>A：「八紘一宇」は日本の戦時スローガンで、満州国の建国理念ではありません。C：「大東亜共栄」は日本の戦時中の対アジア政策の理念です。D：「富国強兵」は明治時代の日本の国策スローガンです。</t>
        </is>
      </c>
      <c r="K35" s="12" t="inlineStr">
        <is>
          <t>教程3</t>
        </is>
      </c>
    </row>
    <row r="36" ht="50.1" customHeight="1">
      <c r="A36" s="12" t="n">
        <v>35</v>
      </c>
      <c r="B36" s="12" t="inlineStr">
        <is>
          <t>★★★</t>
        </is>
      </c>
      <c r="C36" s="12" t="inlineStr">
        <is>
          <t>1942年に文部省が開設した東南アジア向け日本語教育要員養成機関は何か。</t>
        </is>
      </c>
      <c r="D36" s="12" t="inlineStr">
        <is>
          <t>B</t>
        </is>
      </c>
      <c r="E36" s="12" t="inlineStr">
        <is>
          <t>大平学校</t>
        </is>
      </c>
      <c r="F36" s="12" t="inlineStr">
        <is>
          <t>南方派遣日本語教育要員養成所</t>
        </is>
      </c>
      <c r="G36" s="12" t="inlineStr">
        <is>
          <t>国語伝習所</t>
        </is>
      </c>
      <c r="H36" s="12" t="inlineStr">
        <is>
          <t>日語学堂</t>
        </is>
      </c>
      <c r="I36" s="12" t="inlineStr">
        <is>
          <t>南方派遣日本語教育要員養成所は1942年に文部省が東京に開設しました。太平洋戦争下の東南アジア占領地（フィリピン、インドネシア、ビルマ等）で日本語教育を行う要員を短期間で養成する目的でした。長沼直兄（ながぬまなおえ）らが指導に関わりました。</t>
        </is>
      </c>
      <c r="J36" s="12" t="inlineStr">
        <is>
          <t>A：大平学校は1980年に中国に設立された日本語教師再教育機関です。C：国語伝習所は1896年に台湾に設置された日本語教育機関です。D：日語学堂は1891年に朝鮮半島に開設された日本語教育機関です。</t>
        </is>
      </c>
      <c r="K36" s="12" t="inlineStr">
        <is>
          <t>教程3</t>
        </is>
      </c>
    </row>
    <row r="37" ht="50.1" customHeight="1">
      <c r="A37" s="12" t="n">
        <v>36</v>
      </c>
      <c r="B37" s="12" t="inlineStr">
        <is>
          <t>★★★</t>
        </is>
      </c>
      <c r="C37" s="12" t="inlineStr">
        <is>
          <t>関東州での日本語教育で主流だった教授法は何か。</t>
        </is>
      </c>
      <c r="D37" s="12" t="inlineStr">
        <is>
          <t>B</t>
        </is>
      </c>
      <c r="E37" s="12" t="inlineStr">
        <is>
          <t>直接法</t>
        </is>
      </c>
      <c r="F37" s="12" t="inlineStr">
        <is>
          <t>対訳法</t>
        </is>
      </c>
      <c r="G37" s="12" t="inlineStr">
        <is>
          <t>オーディオリンガル法</t>
        </is>
      </c>
      <c r="H37" s="12" t="inlineStr">
        <is>
          <t>コミュニカティブ・アプローチ</t>
        </is>
      </c>
      <c r="I37" s="12" t="inlineStr">
        <is>
          <t>関東州では、台湾や朝鮮のような直接法ではなく、中国語と日本語を対照させながら教える「対訳法」が主に用いられました。これは関東州が植民地ではなく租借地であり、統治方針が異なっていたことも影響しています。</t>
        </is>
      </c>
      <c r="J37" s="12" t="inlineStr">
        <is>
          <t>A：直接法は台湾などで用いられた方法で、媒介語を使わず日本語のみで教える方法です。C：オーディオリンガル法は1950年代以降にアメリカで発展した教授法で、時代が異なります。D：コミュニカティブ・アプローチは1970年代以降の教授法で、関東州の時代には存在しません。</t>
        </is>
      </c>
      <c r="K37" s="12" t="inlineStr">
        <is>
          <t>教程3</t>
        </is>
      </c>
    </row>
    <row r="38" ht="50.1" customHeight="1">
      <c r="A38" s="12" t="n">
        <v>37</v>
      </c>
      <c r="B38" s="12" t="inlineStr">
        <is>
          <t>★★</t>
        </is>
      </c>
      <c r="C38" s="12" t="inlineStr">
        <is>
          <t>国立国語研究所が創設されたのは何年か。</t>
        </is>
      </c>
      <c r="D38" s="12" t="inlineStr">
        <is>
          <t>B</t>
        </is>
      </c>
      <c r="E38" s="12" t="inlineStr">
        <is>
          <t>1945年</t>
        </is>
      </c>
      <c r="F38" s="12" t="inlineStr">
        <is>
          <t>1948年</t>
        </is>
      </c>
      <c r="G38" s="12" t="inlineStr">
        <is>
          <t>1972年</t>
        </is>
      </c>
      <c r="H38" s="12" t="inlineStr">
        <is>
          <t>1977年</t>
        </is>
      </c>
      <c r="I38" s="12" t="inlineStr">
        <is>
          <t>国立国語研究所は1948年に設立され、日本語の科学的研究を使命としています。BCCWJ（現代日本語書き言葉均衡コーパス）やCSJ（日本語話し言葉コーパス）の開発など、日本語研究の基盤整備に重要な役割を果たしています。</t>
        </is>
      </c>
      <c r="J38" s="12" t="inlineStr">
        <is>
          <t>A：1945年は終戦の年で、国立国語研究所の設立はその3年後です。C：1972年は国際交流基金が設立された年です。D：1977年は日本語教育学会が設立された年です。</t>
        </is>
      </c>
      <c r="K38" s="12" t="inlineStr">
        <is>
          <t>教程3</t>
        </is>
      </c>
    </row>
    <row r="39" ht="50.1" customHeight="1">
      <c r="A39" s="12" t="n">
        <v>38</v>
      </c>
      <c r="B39" s="12" t="inlineStr">
        <is>
          <t>★★</t>
        </is>
      </c>
      <c r="C39" s="12" t="inlineStr">
        <is>
          <t>日本語教育学会が設立されたのは何年か。</t>
        </is>
      </c>
      <c r="D39" s="12" t="inlineStr">
        <is>
          <t>C</t>
        </is>
      </c>
      <c r="E39" s="12" t="inlineStr">
        <is>
          <t>1948年</t>
        </is>
      </c>
      <c r="F39" s="12" t="inlineStr">
        <is>
          <t>1972年</t>
        </is>
      </c>
      <c r="G39" s="12" t="inlineStr">
        <is>
          <t>1977年</t>
        </is>
      </c>
      <c r="H39" s="12" t="inlineStr">
        <is>
          <t>2004年</t>
        </is>
      </c>
      <c r="I39" s="12" t="inlineStr">
        <is>
          <t>日本語教育学会は1977年に発足し、日本語教育の研究と実践の発展に寄与してきました。年2回の研究大会や学会誌『日本語教育』の刊行を通じて、日本語教育の質の向上に貢献しています。</t>
        </is>
      </c>
      <c r="J39" s="12" t="inlineStr">
        <is>
          <t>A：1948年は国立国語研究所の創設年です。B：1972年は国際交流基金の設立年です。D：2004年はJASSO（日本学生支援機構）の設立年です。</t>
        </is>
      </c>
      <c r="K39" s="12" t="inlineStr">
        <is>
          <t>教程3</t>
        </is>
      </c>
    </row>
    <row r="40" ht="50.1" customHeight="1">
      <c r="A40" s="12" t="n">
        <v>39</v>
      </c>
      <c r="B40" s="12" t="inlineStr">
        <is>
          <t>★</t>
        </is>
      </c>
      <c r="C40" s="12" t="inlineStr">
        <is>
          <t>国際交流基金が設立されたのは何年か。</t>
        </is>
      </c>
      <c r="D40" s="12" t="inlineStr">
        <is>
          <t>B</t>
        </is>
      </c>
      <c r="E40" s="12" t="inlineStr">
        <is>
          <t>1948年</t>
        </is>
      </c>
      <c r="F40" s="12" t="inlineStr">
        <is>
          <t>1972年</t>
        </is>
      </c>
      <c r="G40" s="12" t="inlineStr">
        <is>
          <t>1977年</t>
        </is>
      </c>
      <c r="H40" s="12" t="inlineStr">
        <is>
          <t>2004年</t>
        </is>
      </c>
      <c r="I40" s="12" t="inlineStr">
        <is>
          <t>国際交流基金は1972年に外務省所管の特殊法人として設立されました。日本語教育、日本文化紹介、国際対話の3分野で事業を展開し、海外の日本語教育を支援する中核的機関です。</t>
        </is>
      </c>
      <c r="J40" s="12" t="inlineStr">
        <is>
          <t>A：1948年は国立国語研究所の創設年です。C：1977年は日本語教育学会の設立年です。D：2004年はJASSO（日本学生支援機構）の設立年です。</t>
        </is>
      </c>
      <c r="K40" s="12" t="inlineStr">
        <is>
          <t>教程3</t>
        </is>
      </c>
    </row>
    <row r="41" ht="50.1" customHeight="1">
      <c r="A41" s="12" t="n">
        <v>40</v>
      </c>
      <c r="B41" s="12" t="inlineStr">
        <is>
          <t>★</t>
        </is>
      </c>
      <c r="C41" s="12" t="inlineStr">
        <is>
          <t>JASSOが誕生したのは何年か。</t>
        </is>
      </c>
      <c r="D41" s="12" t="inlineStr">
        <is>
          <t>C</t>
        </is>
      </c>
      <c r="E41" s="12" t="inlineStr">
        <is>
          <t>1977年</t>
        </is>
      </c>
      <c r="F41" s="12" t="inlineStr">
        <is>
          <t>1996年</t>
        </is>
      </c>
      <c r="G41" s="12" t="inlineStr">
        <is>
          <t>2004年</t>
        </is>
      </c>
      <c r="H41" s="12" t="inlineStr">
        <is>
          <t>2009年</t>
        </is>
      </c>
      <c r="I41" s="12" t="inlineStr">
        <is>
          <t>JASSOは2004年に複数の関連団体が統合されて設立されました。留学生支援、奨学金事業、日本留学試験（EJU）の実施など、学生支援に関する包括的な業務を担っています。</t>
        </is>
      </c>
      <c r="J41" s="12" t="inlineStr">
        <is>
          <t>A：1977年は日本語教育学会の設立年です。B：1996年は該当する機関設立はありません。D：2009年は該当しません。</t>
        </is>
      </c>
      <c r="K41" s="12" t="inlineStr">
        <is>
          <t>教程3</t>
        </is>
      </c>
    </row>
    <row r="42" ht="50.1" customHeight="1">
      <c r="A42" s="12" t="n">
        <v>41</v>
      </c>
      <c r="B42" s="12" t="inlineStr">
        <is>
          <t>★</t>
        </is>
      </c>
      <c r="C42" s="12" t="inlineStr">
        <is>
          <t>JLPTの国内実施機関はどこか。</t>
        </is>
      </c>
      <c r="D42" s="12" t="inlineStr">
        <is>
          <t>C</t>
        </is>
      </c>
      <c r="E42" s="12" t="inlineStr">
        <is>
          <t>国際交流基金</t>
        </is>
      </c>
      <c r="F42" s="12" t="inlineStr">
        <is>
          <t>日本学生支援機構</t>
        </is>
      </c>
      <c r="G42" s="12" t="inlineStr">
        <is>
          <t>日本国際教育支援協会</t>
        </is>
      </c>
      <c r="H42" s="12" t="inlineStr">
        <is>
          <t>国立国語研究所</t>
        </is>
      </c>
      <c r="I42" s="12" t="inlineStr">
        <is>
          <t>JLPTは国際交流基金とJEES（日本国際教育支援協会）の共催で実施されます。国内ではJEESが、海外では国際交流基金が実施を担当するという役割分担になっています。年2回（7月・12月）実施されます。</t>
        </is>
      </c>
      <c r="J42" s="12" t="inlineStr">
        <is>
          <t>A：国際交流基金はJLPTの海外実施機関です。国内実施はJEESの担当です。B：日本学生支援機構（JASSO）はEJU（日本留学試験）の実施機関であり、JLPTではありません。D：国立国語研究所は日本語の研究機関であり、試験実施機関ではありません。</t>
        </is>
      </c>
      <c r="K42" s="12" t="inlineStr">
        <is>
          <t>教程3</t>
        </is>
      </c>
    </row>
    <row r="43" ht="50.1" customHeight="1">
      <c r="A43" s="12" t="n">
        <v>42</v>
      </c>
      <c r="B43" s="12" t="inlineStr">
        <is>
          <t>★</t>
        </is>
      </c>
      <c r="C43" s="12" t="inlineStr">
        <is>
          <t>JLPTのレベルはいくつあるか。</t>
        </is>
      </c>
      <c r="D43" s="12" t="inlineStr">
        <is>
          <t>C</t>
        </is>
      </c>
      <c r="E43" s="12" t="inlineStr">
        <is>
          <t>3つ</t>
        </is>
      </c>
      <c r="F43" s="12" t="inlineStr">
        <is>
          <t>4つ</t>
        </is>
      </c>
      <c r="G43" s="12" t="inlineStr">
        <is>
          <t>5つ</t>
        </is>
      </c>
      <c r="H43" s="12" t="inlineStr">
        <is>
          <t>6つ</t>
        </is>
      </c>
      <c r="I43" s="12" t="inlineStr">
        <is>
          <t>JLPTは2010年に改定され、旧4段階（1級〜4級）から新5段階（N1〜N5）になりました。旧2級と3級の間のレベルとしてN3が新設され、よりきめ細かい能力判定が可能になりました。</t>
        </is>
      </c>
      <c r="J43" s="12" t="inlineStr">
        <is>
          <t>A：3つではなく5つです。B：4つは旧試験の級数で、2010年改定前の制度です。D：6つではありません。CEFRは6段階（A1〜C2）ですが、JLPTは5段階です。</t>
        </is>
      </c>
      <c r="K43" s="12" t="inlineStr">
        <is>
          <t>教程3</t>
        </is>
      </c>
    </row>
    <row r="44" ht="50.1" customHeight="1">
      <c r="A44" s="12" t="n">
        <v>43</v>
      </c>
      <c r="B44" s="12" t="inlineStr">
        <is>
          <t>★</t>
        </is>
      </c>
      <c r="C44" s="12" t="inlineStr">
        <is>
          <t>国際交流基金日本語基礎テストが判定するCEFRレベルはどれか。</t>
        </is>
      </c>
      <c r="D44" s="12" t="inlineStr">
        <is>
          <t>B</t>
        </is>
      </c>
      <c r="E44" s="12" t="inlineStr">
        <is>
          <t>A1</t>
        </is>
      </c>
      <c r="F44" s="12" t="inlineStr">
        <is>
          <t>A2</t>
        </is>
      </c>
      <c r="G44" s="12" t="inlineStr">
        <is>
          <t>B1</t>
        </is>
      </c>
      <c r="H44" s="12" t="inlineStr">
        <is>
          <t>B2</t>
        </is>
      </c>
      <c r="I44" s="12" t="inlineStr">
        <is>
          <t>JFT-BasicはA2レベル（基礎段階の言語使用者の上位）の判定を行うテストで、「ある程度日常会話ができ、生活に支障がない程度の能力」を測ります。特定技能1号の在留資格取得に必要な日本語能力の証明手段の一つとして活用されています。</t>
        </is>
      </c>
      <c r="J44" s="12" t="inlineStr">
        <is>
          <t>A：A1は最も初歩的なレベルで、JFT-Basicの判定レベルではありません。C：B1は自立した言語使用者のレベルで、JFT-Basicよりも上位です。D：B2はさらに上位のレベルです。</t>
        </is>
      </c>
      <c r="K44" s="12" t="inlineStr">
        <is>
          <t>教程3</t>
        </is>
      </c>
    </row>
    <row r="45" ht="50.1" customHeight="1">
      <c r="A45" s="12" t="n">
        <v>44</v>
      </c>
      <c r="B45" s="12" t="inlineStr">
        <is>
          <t>★★</t>
        </is>
      </c>
      <c r="C45" s="12" t="inlineStr">
        <is>
          <t>国際交流基金日本語基礎テストの実施方式は何か。</t>
        </is>
      </c>
      <c r="D45" s="12" t="inlineStr">
        <is>
          <t>C</t>
        </is>
      </c>
      <c r="E45" s="12" t="inlineStr">
        <is>
          <t>ペーパーテスト</t>
        </is>
      </c>
      <c r="F45" s="12" t="inlineStr">
        <is>
          <t>インタビュー</t>
        </is>
      </c>
      <c r="G45" s="12" t="inlineStr">
        <is>
          <t>CBT方式</t>
        </is>
      </c>
      <c r="H45" s="12" t="inlineStr">
        <is>
          <t>記述式</t>
        </is>
      </c>
      <c r="I45" s="12" t="inlineStr">
        <is>
          <t>JFT-BasicはCBT方式（コンピュータを使ったテスト）で実施されます。国内外のテストセンターで随時受験可能で、従来のペーパーテストと比べて受験機会が多いのが特徴です。聴解と読解の問題が出題されます。</t>
        </is>
      </c>
      <c r="J45" s="12" t="inlineStr">
        <is>
          <t>A：ペーパーテスト（紙の試験）方式ではなく、コンピュータで受験します。D：記述式（自由記述）のテストではありません。B：インタビュー（面接）方式はOPI（Oral Proficiency Interview）の実施方式です。</t>
        </is>
      </c>
      <c r="K45" s="12" t="inlineStr">
        <is>
          <t>教程3</t>
        </is>
      </c>
    </row>
    <row r="46" ht="50.1" customHeight="1">
      <c r="A46" s="12" t="n">
        <v>45</v>
      </c>
      <c r="B46" s="12" t="inlineStr">
        <is>
          <t>★</t>
        </is>
      </c>
      <c r="C46" s="12" t="inlineStr">
        <is>
          <t>日本留学試験の実施機関はどこか。</t>
        </is>
      </c>
      <c r="D46" s="12" t="inlineStr">
        <is>
          <t>C</t>
        </is>
      </c>
      <c r="E46" s="12" t="inlineStr">
        <is>
          <t>JEES</t>
        </is>
      </c>
      <c r="F46" s="12" t="inlineStr">
        <is>
          <t>国際交流基金</t>
        </is>
      </c>
      <c r="G46" s="12" t="inlineStr">
        <is>
          <t>JASSO</t>
        </is>
      </c>
      <c r="H46" s="12" t="inlineStr">
        <is>
          <t>国立国語研究所</t>
        </is>
      </c>
      <c r="I46" s="12" t="inlineStr">
        <is>
          <t>EJUはJASSOが実施する試験で、外国人留学生の大学入学選考に活用されます。日本語、理科、総合科目、数学の4科目があり、受験者は志望大学の指定に応じて科目を選択します。</t>
        </is>
      </c>
      <c r="J46" s="12" t="inlineStr">
        <is>
          <t>A：JEES（日本国際教育支援協会）はJLPTの国内実施機関です。B：国際交流基金はJLPTの海外実施やJFT-Basicの運営を担当しています。D：国立国語研究所は日本語の研究機関で、試験実施は行っていません。</t>
        </is>
      </c>
      <c r="K46" s="12" t="inlineStr">
        <is>
          <t>教程3</t>
        </is>
      </c>
    </row>
    <row r="47" ht="50.1" customHeight="1">
      <c r="A47" s="12" t="n">
        <v>46</v>
      </c>
      <c r="B47" s="12" t="inlineStr">
        <is>
          <t>★★</t>
        </is>
      </c>
      <c r="C47" s="12" t="inlineStr">
        <is>
          <t>BJTの満点は何点か。</t>
        </is>
      </c>
      <c r="D47" s="12" t="inlineStr">
        <is>
          <t>C</t>
        </is>
      </c>
      <c r="E47" s="12" t="inlineStr">
        <is>
          <t>400点</t>
        </is>
      </c>
      <c r="F47" s="12" t="inlineStr">
        <is>
          <t>600点</t>
        </is>
      </c>
      <c r="G47" s="12" t="inlineStr">
        <is>
          <t>800点</t>
        </is>
      </c>
      <c r="H47" s="12" t="inlineStr">
        <is>
          <t>1000点</t>
        </is>
      </c>
      <c r="I47" s="12" t="inlineStr">
        <is>
          <t>BJTはビジネス場面での日本語コミュニケーション能力を0〜800点のスコアで測定します。高度人材ポイント制においてもBJTスコアが加点対象となっており、480点以上で15ポイントが付与されます。</t>
        </is>
      </c>
      <c r="J47" s="12" t="inlineStr">
        <is>
          <t>A：400点は満点ではありません。B：600点も満点ではありません。D：1000点はTOEICの満点（990点に近い数値）であり、BJTの満点ではありません。</t>
        </is>
      </c>
      <c r="K47" s="12" t="inlineStr">
        <is>
          <t>教程3</t>
        </is>
      </c>
    </row>
    <row r="48" ht="50.1" customHeight="1">
      <c r="A48" s="12" t="n">
        <v>47</v>
      </c>
      <c r="B48" s="12" t="inlineStr">
        <is>
          <t>★★</t>
        </is>
      </c>
      <c r="C48" s="12" t="inlineStr">
        <is>
          <t>OPIの主要レベルの数はいくつか。</t>
        </is>
      </c>
      <c r="D48" s="12" t="inlineStr">
        <is>
          <t>B</t>
        </is>
      </c>
      <c r="E48" s="12" t="inlineStr">
        <is>
          <t>3つ</t>
        </is>
      </c>
      <c r="F48" s="12" t="inlineStr">
        <is>
          <t>4つ</t>
        </is>
      </c>
      <c r="G48" s="12" t="inlineStr">
        <is>
          <t>5つ</t>
        </is>
      </c>
      <c r="H48" s="12" t="inlineStr">
        <is>
          <t>6つ</t>
        </is>
      </c>
      <c r="I48" s="12" t="inlineStr">
        <is>
          <t>OPIはACTFL（全米外国語教育協会）が開発した口頭能力テストで、主要4レベル（初級・中級・上級・超級）で判定します。初級・中級・上級にはそれぞれ「上・中・下」のサブレベルがあり、全10段階で評価されます。</t>
        </is>
      </c>
      <c r="J48" s="12" t="inlineStr">
        <is>
          <t>A：3つではなく4つです。C：5つはJLPTのレベル数です。D：6つはCEFRのレベル数です。OPIは4つの主要レベルが特徴です。</t>
        </is>
      </c>
      <c r="K48" s="12" t="inlineStr">
        <is>
          <t>教程3</t>
        </is>
      </c>
    </row>
    <row r="49" ht="50.1" customHeight="1">
      <c r="A49" s="12" t="n">
        <v>48</v>
      </c>
      <c r="B49" s="12" t="inlineStr">
        <is>
          <t>★★★</t>
        </is>
      </c>
      <c r="C49" s="12" t="inlineStr">
        <is>
          <t>OPIで上限を決める質問方式を何と呼ぶか。</t>
        </is>
      </c>
      <c r="D49" s="12" t="inlineStr">
        <is>
          <t>A</t>
        </is>
      </c>
      <c r="E49" s="12" t="inlineStr">
        <is>
          <t>プローブス（突き上げ）</t>
        </is>
      </c>
      <c r="F49" s="12" t="inlineStr">
        <is>
          <t>スキャフォールディング</t>
        </is>
      </c>
      <c r="G49" s="12" t="inlineStr">
        <is>
          <t>フィードバック</t>
        </is>
      </c>
      <c r="H49" s="12" t="inlineStr">
        <is>
          <t>エリシテーション</t>
        </is>
      </c>
      <c r="I49" s="12" t="inlineStr">
        <is>
          <t>プローブス（突き上げ）はOPIの面接テクニックの一つで、受験者の現在のレベルよりも上の課題を与え、どこまで対応できるかを確認します。これにより能力の「天井」（上限レベル）を特定します。対になる手法として「レベルチェック」（現在のレベルの確認）があります。</t>
        </is>
      </c>
      <c r="J49" s="12" t="inlineStr">
        <is>
          <t>B：スキャフォールディング（足場かけ）は教育用語で、学習者の理解を支援するために段階的な支援を提供することです。C：フィードバックは学習者への評価・反応を返すことです。D：エリシテーション（誘出）は学習者から発話を引き出す技法です。</t>
        </is>
      </c>
      <c r="K49" s="12" t="inlineStr">
        <is>
          <t>教程3</t>
        </is>
      </c>
    </row>
    <row r="50" ht="50.1" customHeight="1">
      <c r="A50" s="12" t="n">
        <v>49</v>
      </c>
      <c r="B50" s="12" t="inlineStr">
        <is>
          <t>★★★</t>
        </is>
      </c>
      <c r="C50" s="12" t="inlineStr">
        <is>
          <t>BJT480点で高度人材ポイント制は何ポイント付与されるか。</t>
        </is>
      </c>
      <c r="D50" s="12" t="inlineStr">
        <is>
          <t>C</t>
        </is>
      </c>
      <c r="E50" s="12" t="inlineStr">
        <is>
          <t>5</t>
        </is>
      </c>
      <c r="F50" s="12" t="inlineStr">
        <is>
          <t>10</t>
        </is>
      </c>
      <c r="G50" s="12" t="inlineStr">
        <is>
          <t>15</t>
        </is>
      </c>
      <c r="H50" s="12" t="inlineStr">
        <is>
          <t>20</t>
        </is>
      </c>
      <c r="I50" s="12" t="inlineStr">
        <is>
          <t>高度人材ポイント制では日本語能力も加点対象となっており、BJT480点以上で15ポイントが付与されます。なお、JLPT N1合格でも15ポイント、N2合格で10ポイントが付与されます。合計70ポイント以上で在留期間の優遇などが受けられます。</t>
        </is>
      </c>
      <c r="J50" s="12" t="inlineStr">
        <is>
          <t>A：5ポイントではありません。B：10ポイントはJLPT N2合格の場合の付与ポイントです。D：20ポイントでもありません。BJT480点以上は15ポイントと正確に覚えましょう。</t>
        </is>
      </c>
      <c r="K50" s="12" t="inlineStr">
        <is>
          <t>教程3</t>
        </is>
      </c>
    </row>
    <row r="51" ht="50.1" customHeight="1">
      <c r="A51" s="12" t="n">
        <v>50</v>
      </c>
      <c r="B51" s="12" t="inlineStr">
        <is>
          <t>★★</t>
        </is>
      </c>
      <c r="C51" s="12" t="inlineStr">
        <is>
          <t>第三次朝鮮教育令（1938年）で朝鮮語はどうなったか。</t>
        </is>
      </c>
      <c r="D51" s="12" t="inlineStr">
        <is>
          <t>C</t>
        </is>
      </c>
      <c r="E51" s="12" t="inlineStr">
        <is>
          <t>必修</t>
        </is>
      </c>
      <c r="F51" s="12" t="inlineStr">
        <is>
          <t>禁止</t>
        </is>
      </c>
      <c r="G51" s="12" t="inlineStr">
        <is>
          <t>随意科目（選択科目）</t>
        </is>
      </c>
      <c r="H51" s="12" t="inlineStr">
        <is>
          <t>廃止</t>
        </is>
      </c>
      <c r="I51" s="12" t="inlineStr">
        <is>
          <t>第三次朝鮮教育令（1938年）は皇民化政策の強化に伴い、朝鮮語を必修科目から随意科目（選択科目）に引き下げました。「内鮮一体」のスローガンのもと、日本語使用が強制され、朝鮮語の使用は抑圧されていきました。</t>
        </is>
      </c>
      <c r="J51" s="12" t="inlineStr">
        <is>
          <t>A：必修ではなく、随意科目（選択科目）に格下げされました。B：完全禁止という形ではなく、随意科目として一応残されました（ただし実質的に教えられなくなりました）。D：正式な「廃止」ではなく「随意科目」への変更です。</t>
        </is>
      </c>
      <c r="K51" s="12" t="inlineStr">
        <is>
          <t>教程3</t>
        </is>
      </c>
    </row>
    <row r="52" ht="50.1" customHeight="1">
      <c r="A52" s="12" t="n">
        <v>51</v>
      </c>
      <c r="B52" s="12" t="inlineStr">
        <is>
          <t>★</t>
        </is>
      </c>
      <c r="C52" s="12" t="inlineStr">
        <is>
          <t>地域差による言語変種を何と言うか。</t>
        </is>
      </c>
      <c r="D52" s="12" t="inlineStr">
        <is>
          <t>B</t>
        </is>
      </c>
      <c r="E52" s="12" t="inlineStr">
        <is>
          <t>社会方言</t>
        </is>
      </c>
      <c r="F52" s="12" t="inlineStr">
        <is>
          <t>地域方言</t>
        </is>
      </c>
      <c r="G52" s="12" t="inlineStr">
        <is>
          <t>位相語</t>
        </is>
      </c>
      <c r="H52" s="12" t="inlineStr">
        <is>
          <t>役割語</t>
        </is>
      </c>
      <c r="I52" s="12" t="inlineStr">
        <is>
          <t>地域方言は地理的な要因（地域差）によって生じる言語変種です。例えば「ありがとう」を関西では「おおきに」、東北では「もっけ」と言うような違いです。柳田國男が提唱した「方言周圏論」でも、地域方言の分布パターンが研究されています。</t>
        </is>
      </c>
      <c r="J52" s="12" t="inlineStr">
        <is>
          <t>A：社会方言は地域ではなく社会的要因（年齢・性別・職業・階層など）による言語変種です。C：位相語は社会的立場（性別・年齢・職業など）の違いによる言葉の違いで、社会方言と関連する概念です。D：役割語は特定の人物像（老人・お嬢様・博士など）と結びついた話し方のことで、金水敏が提唱しました。</t>
        </is>
      </c>
      <c r="K52" s="12" t="inlineStr">
        <is>
          <t>教程4</t>
        </is>
      </c>
    </row>
    <row r="53" ht="50.1" customHeight="1">
      <c r="A53" s="12" t="n">
        <v>52</v>
      </c>
      <c r="B53" s="12" t="inlineStr">
        <is>
          <t>★</t>
        </is>
      </c>
      <c r="C53" s="12" t="inlineStr">
        <is>
          <t>特定の言葉づかいから特定の人物像を思い浮かべられる言葉づかいを何と言うか。</t>
        </is>
      </c>
      <c r="D53" s="12" t="inlineStr">
        <is>
          <t>C</t>
        </is>
      </c>
      <c r="E53" s="12" t="inlineStr">
        <is>
          <t>位相語</t>
        </is>
      </c>
      <c r="F53" s="12" t="inlineStr">
        <is>
          <t>地域方言</t>
        </is>
      </c>
      <c r="G53" s="12" t="inlineStr">
        <is>
          <t>役割語</t>
        </is>
      </c>
      <c r="H53" s="12" t="inlineStr">
        <is>
          <t>社会方言</t>
        </is>
      </c>
      <c r="I53" s="12" t="inlineStr">
        <is>
          <t>役割語は金水敏が2003年に提唱した概念で、特定の話し方を聞くだけで話者の人物像（年齢・性別・職業・性格など）が想起される言葉づかいです。実際にはそのように話す人がいなくても、フィクションなどで定着した言語表現です。</t>
        </is>
      </c>
      <c r="J53" s="12" t="inlineStr">
        <is>
          <t>A：位相語は社会的立場（性別・年齢・職業）による言語の違いで、役割語とは異なります。B：地域方言は地理的要因による変種です。D：社会方言は社会的要因全般による変種の総称です。</t>
        </is>
      </c>
      <c r="K53" s="12" t="inlineStr">
        <is>
          <t>教程4</t>
        </is>
      </c>
    </row>
    <row r="54" ht="50.1" customHeight="1">
      <c r="A54" s="12" t="n">
        <v>53</v>
      </c>
      <c r="B54" s="12" t="inlineStr">
        <is>
          <t>★</t>
        </is>
      </c>
      <c r="C54" s="12" t="inlineStr">
        <is>
          <t>ピジンの特徴として正しくないものはどれか。</t>
        </is>
      </c>
      <c r="D54" s="12" t="inlineStr">
        <is>
          <t>D</t>
        </is>
      </c>
      <c r="E54" s="12" t="inlineStr">
        <is>
          <t>文法が単純</t>
        </is>
      </c>
      <c r="F54" s="12" t="inlineStr">
        <is>
          <t>語彙が少ない</t>
        </is>
      </c>
      <c r="G54" s="12" t="inlineStr">
        <is>
          <t>書き言葉を持たない</t>
        </is>
      </c>
      <c r="H54" s="12" t="inlineStr">
        <is>
          <t>豊富な語彙体系を持つ</t>
        </is>
      </c>
      <c r="I54" s="12" t="inlineStr">
        <is>
          <t>ピジンは語彙が限られ文法構造が単純化された接触言語です。特定の目的（交易など）のためだけに使われるため、複雑な表現や豊富な語彙は発達しません。母語話者は存在せず、限定的な場面でのみ使用されます。</t>
        </is>
      </c>
      <c r="J54" s="12" t="inlineStr">
        <is>
          <t>A：文法が単純なのはピジンの特徴です。語形変化の簡略化、語順の固定化などが見られます。B：語彙が少ないのもピジンの特徴で、交易などの限定的な場面で使われるため語彙は最小限です。C：書き言葉を持たないのもピジンの特徴で、口頭でのみ使用されます。</t>
        </is>
      </c>
      <c r="K54" s="12" t="inlineStr">
        <is>
          <t>教程4</t>
        </is>
      </c>
    </row>
    <row r="55" ht="50.1" customHeight="1">
      <c r="A55" s="12" t="n">
        <v>54</v>
      </c>
      <c r="B55" s="12" t="inlineStr">
        <is>
          <t>★</t>
        </is>
      </c>
      <c r="C55" s="12" t="inlineStr">
        <is>
          <t>ピジンが世代間に受け継がれ共通言語となったものを何と言うか。</t>
        </is>
      </c>
      <c r="D55" s="12" t="inlineStr">
        <is>
          <t>B</t>
        </is>
      </c>
      <c r="E55" s="12" t="inlineStr">
        <is>
          <t>リンガ・フランカ</t>
        </is>
      </c>
      <c r="F55" s="12" t="inlineStr">
        <is>
          <t>クレオール</t>
        </is>
      </c>
      <c r="G55" s="12" t="inlineStr">
        <is>
          <t>ダイグロシア</t>
        </is>
      </c>
      <c r="H55" s="12" t="inlineStr">
        <is>
          <t>コードスイッチング</t>
        </is>
      </c>
      <c r="I55" s="12" t="inlineStr">
        <is>
          <t>クレオールはピジンが母語化したものです。親の世代がピジンを使う環境で育った子どもがそれを母語として習得する過程で、文法が体系化され語彙も拡充されます。完全な言語体系を持つに至ったものです。</t>
        </is>
      </c>
      <c r="J55" s="12" t="inlineStr">
        <is>
          <t>A：リンガ・フランカは異なる言語を話す者同士が意思疎通のために使う共通語のことです（例：英語が国際的なリンガ・フランカ）。C：ダイグロシアは同一社会で二つの言語変種が機能別に使い分けられている状況です。D：コードスイッチングは会話の中で使用言語を切り替えることです。</t>
        </is>
      </c>
      <c r="K55" s="12" t="inlineStr">
        <is>
          <t>教程4</t>
        </is>
      </c>
    </row>
    <row r="56" ht="50.1" customHeight="1">
      <c r="A56" s="12" t="n">
        <v>55</v>
      </c>
      <c r="B56" s="12" t="inlineStr">
        <is>
          <t>★</t>
        </is>
      </c>
      <c r="C56" s="12" t="inlineStr">
        <is>
          <t>二つの言語変種が状況により使い分けられている社会状況を何と言うか。</t>
        </is>
      </c>
      <c r="D56" s="12" t="inlineStr">
        <is>
          <t>B</t>
        </is>
      </c>
      <c r="E56" s="12" t="inlineStr">
        <is>
          <t>バイリンガリズム</t>
        </is>
      </c>
      <c r="F56" s="12" t="inlineStr">
        <is>
          <t>ダイグロシア</t>
        </is>
      </c>
      <c r="G56" s="12" t="inlineStr">
        <is>
          <t>ポリグロシア</t>
        </is>
      </c>
      <c r="H56" s="12" t="inlineStr">
        <is>
          <t>コードスイッチング</t>
        </is>
      </c>
      <c r="I56" s="12" t="inlineStr">
        <is>
          <t>ダイグロシアはファーガソンが1959年に提唱した概念で、社会の中でH変種（公式・教育・メディアなどの場面で使用）とL変種（日常会話・家庭内で使用）が機能的に使い分けられている状態です。アラビア語圏やスイスのドイツ語圏が典型例です。</t>
        </is>
      </c>
      <c r="J56" s="12" t="inlineStr">
        <is>
          <t>A：バイリンガリズムは個人が二つの言語を使用できる状態で、社会的な使い分けを指すダイグロシアとは異なります。C：ポリグロシアは三つ以上の言語変種が使い分けられる状況です。D：コードスイッチングは個人が会話中に言語を切り替えることで、社会的な言語状況を指す用語ではありません。</t>
        </is>
      </c>
      <c r="K56" s="12" t="inlineStr">
        <is>
          <t>教程4</t>
        </is>
      </c>
    </row>
    <row r="57" ht="50.1" customHeight="1">
      <c r="A57" s="12" t="n">
        <v>56</v>
      </c>
      <c r="B57" s="12" t="inlineStr">
        <is>
          <t>★</t>
        </is>
      </c>
      <c r="C57" s="12" t="inlineStr">
        <is>
          <t>教師が学習者に対して使用する言語変種を何と言うか。</t>
        </is>
      </c>
      <c r="D57" s="12" t="inlineStr">
        <is>
          <t>B</t>
        </is>
      </c>
      <c r="E57" s="12" t="inlineStr">
        <is>
          <t>フォリナートーク</t>
        </is>
      </c>
      <c r="F57" s="12" t="inlineStr">
        <is>
          <t>ティーチャートーク</t>
        </is>
      </c>
      <c r="G57" s="12" t="inlineStr">
        <is>
          <t>ベビートーク</t>
        </is>
      </c>
      <c r="H57" s="12" t="inlineStr">
        <is>
          <t>スタイルシフト</t>
        </is>
      </c>
      <c r="I57" s="12" t="inlineStr">
        <is>
          <t>ティーチャートークは教師が学習者の理解を助けるために意識的に調整した話し方です。ゆっくり話す、語彙を制限する、短い文にする、重要な部分を繰り返す、視覚教材を併用するなどの特徴があります。学習者のレベルに応じて調整されます。</t>
        </is>
      </c>
      <c r="J57" s="12" t="inlineStr">
        <is>
          <t>A：フォリナートークは教師ではなく一般の母語話者が非母語話者に対して使う簡略化された話し方です。C：ベビートークは大人が乳幼児に対して使う話し方で、高い声、繰り返し、簡単な語彙などの特徴があります。D：スタイルシフトは場面や相手に応じて文体（話し方のスタイル）を切り替えることです。</t>
        </is>
      </c>
      <c r="K57" s="12" t="inlineStr">
        <is>
          <t>教程4</t>
        </is>
      </c>
    </row>
    <row r="58" ht="50.1" customHeight="1">
      <c r="A58" s="12" t="n">
        <v>57</v>
      </c>
      <c r="B58" s="12" t="inlineStr">
        <is>
          <t>★</t>
        </is>
      </c>
      <c r="C58" s="12" t="inlineStr">
        <is>
          <t>異なった言語を話す者同士が意思疎通のために使う言語を何と言うか。</t>
        </is>
      </c>
      <c r="D58" s="12" t="inlineStr">
        <is>
          <t>C</t>
        </is>
      </c>
      <c r="E58" s="12" t="inlineStr">
        <is>
          <t>ピジン</t>
        </is>
      </c>
      <c r="F58" s="12" t="inlineStr">
        <is>
          <t>クレオール</t>
        </is>
      </c>
      <c r="G58" s="12" t="inlineStr">
        <is>
          <t>リンガ・フランカ</t>
        </is>
      </c>
      <c r="H58" s="12" t="inlineStr">
        <is>
          <t>母語</t>
        </is>
      </c>
      <c r="I58" s="12" t="inlineStr">
        <is>
          <t>リンガ・フランカは異なる母語を持つ人々の間で共通語として使われる言語です。元々は地中海沿岸の交易に使われた混成語を指していましたが、現在はより広く「異言語話者間の共通語」の意味で使われます。</t>
        </is>
      </c>
      <c r="J58" s="12" t="inlineStr">
        <is>
          <t>A：ピジンは異なる言語の接触で自然発生した単純化された補助言語で、特定の場面（交易など）に限られます。リンガ・フランカはより広い概念です。B：クレオールはピジンが母語化したもので、特定の共同体の母語です。D：母語は個人が最初に習得した言語（第一言語）です。</t>
        </is>
      </c>
      <c r="K58" s="12" t="inlineStr">
        <is>
          <t>教程4</t>
        </is>
      </c>
    </row>
    <row r="59" ht="50.1" customHeight="1">
      <c r="A59" s="12" t="n">
        <v>58</v>
      </c>
      <c r="B59" s="12" t="inlineStr">
        <is>
          <t>★★</t>
        </is>
      </c>
      <c r="C59" s="12" t="inlineStr">
        <is>
          <t>場面や相手に応じて文体を切り替えることを何と言うか。</t>
        </is>
      </c>
      <c r="D59" s="12" t="inlineStr">
        <is>
          <t>B</t>
        </is>
      </c>
      <c r="E59" s="12" t="inlineStr">
        <is>
          <t>コードスイッチング</t>
        </is>
      </c>
      <c r="F59" s="12" t="inlineStr">
        <is>
          <t>スタイルシフト</t>
        </is>
      </c>
      <c r="G59" s="12" t="inlineStr">
        <is>
          <t>フォリナートーク</t>
        </is>
      </c>
      <c r="H59" s="12" t="inlineStr">
        <is>
          <t>ダイグロシア</t>
        </is>
      </c>
      <c r="I59" s="12" t="inlineStr">
        <is>
          <t>スタイルシフトは同一言語内で、場面・相手・話題などに応じて丁寧体から普通体へ、あるいはフォーマルな表現からカジュアルな表現へと文体を変えることです。例えば、上司には「です・ます体」、友人には「だ・である体」を使うような切り替えです。</t>
        </is>
      </c>
      <c r="J59" s="12" t="inlineStr">
        <is>
          <t>A：コードスイッチングは文体の切り替えではなく、言語そのもの（例：日本語から英語）を切り替えることです。C：フォリナートークは母語話者が非母語話者に対して使う話し方の調整で、文体の切り替えとは異なります。D：ダイグロシアは社会レベルでの二言語変種の使い分けで、個人の文体切り替えとは異なります。</t>
        </is>
      </c>
      <c r="K59" s="12" t="inlineStr">
        <is>
          <t>教程4</t>
        </is>
      </c>
    </row>
    <row r="60" ht="50.1" customHeight="1">
      <c r="A60" s="12" t="n">
        <v>59</v>
      </c>
      <c r="B60" s="12" t="inlineStr">
        <is>
          <t>★★</t>
        </is>
      </c>
      <c r="C60" s="12" t="inlineStr">
        <is>
          <t>一つの会話の中で使用言語を切り替えることを何と言うか。</t>
        </is>
      </c>
      <c r="D60" s="12" t="inlineStr">
        <is>
          <t>B</t>
        </is>
      </c>
      <c r="E60" s="12" t="inlineStr">
        <is>
          <t>スタイルシフト</t>
        </is>
      </c>
      <c r="F60" s="12" t="inlineStr">
        <is>
          <t>コードスイッチング</t>
        </is>
      </c>
      <c r="G60" s="12" t="inlineStr">
        <is>
          <t>ティーチャートーク</t>
        </is>
      </c>
      <c r="H60" s="12" t="inlineStr">
        <is>
          <t>クレオール化</t>
        </is>
      </c>
      <c r="I60" s="12" t="inlineStr">
        <is>
          <t>コードスイッチングはバイリンガルの話者が会話中に二つ以上の言語を切り替えて使用する現象です。相手への配慮、トピックの変化、感情表現、語彙の不足など、さまざまな動機で起こります。「コード」は言語や言語変種を指します。</t>
        </is>
      </c>
      <c r="J60" s="12" t="inlineStr">
        <is>
          <t>A：スタイルシフトは同一言語内での文体（フォーマル/カジュアル）の切り替えで、言語そのものの切り替えではありません。C：ティーチャートークは教師が学習者向けに調整した話し方です。D：クレオール化はピジンが母語化する過程で、会話中の切り替えとは異なります。</t>
        </is>
      </c>
      <c r="K60" s="12" t="inlineStr">
        <is>
          <t>教程4</t>
        </is>
      </c>
    </row>
    <row r="61" ht="50.1" customHeight="1">
      <c r="A61" s="12" t="n">
        <v>60</v>
      </c>
      <c r="B61" s="12" t="inlineStr">
        <is>
          <t>★</t>
        </is>
      </c>
      <c r="C61" s="12" t="inlineStr">
        <is>
          <t>親から子へ受け継ぐ言語を何と言うか。</t>
        </is>
      </c>
      <c r="D61" s="12" t="inlineStr">
        <is>
          <t>B</t>
        </is>
      </c>
      <c r="E61" s="12" t="inlineStr">
        <is>
          <t>母語</t>
        </is>
      </c>
      <c r="F61" s="12" t="inlineStr">
        <is>
          <t>継承語</t>
        </is>
      </c>
      <c r="G61" s="12" t="inlineStr">
        <is>
          <t>公用語</t>
        </is>
      </c>
      <c r="H61" s="12" t="inlineStr">
        <is>
          <t>共通語</t>
        </is>
      </c>
      <c r="I61" s="12" t="inlineStr">
        <is>
          <t>継承語（heritage language）は移民の子どもなどが親や祖父母の言語を家庭内で自然に習得する言語です。居住国の主流言語と並行して使用されますが、教育環境が整わないと世代を経るにつれて喪失する傾向があります。継承語教育の重要性が近年注目されています。</t>
        </is>
      </c>
      <c r="J61" s="12" t="inlineStr">
        <is>
          <t>A：母語は個人が最初に習得した言語（第一言語）を指し、必ずしも親から受け継いだ言語とは限りません。C：公用語は国家が公式に定めた言語です。D：共通語は異なる言語を持つ人々の間で使われる共通の言語です。</t>
        </is>
      </c>
      <c r="K61" s="12" t="inlineStr">
        <is>
          <t>教程4</t>
        </is>
      </c>
    </row>
    <row r="62" ht="50.1" customHeight="1">
      <c r="A62" s="12" t="n">
        <v>61</v>
      </c>
      <c r="B62" s="12" t="inlineStr">
        <is>
          <t>★★</t>
        </is>
      </c>
      <c r="C62" s="12" t="inlineStr">
        <is>
          <t>学校の教科内容を第二言語で指導するバイリンガル教育を何と言うか。</t>
        </is>
      </c>
      <c r="D62" s="12" t="inlineStr">
        <is>
          <t>B</t>
        </is>
      </c>
      <c r="E62" s="12" t="inlineStr">
        <is>
          <t>維持型バイリンガル教育</t>
        </is>
      </c>
      <c r="F62" s="12" t="inlineStr">
        <is>
          <t>イマージョン・プログラム</t>
        </is>
      </c>
      <c r="G62" s="12" t="inlineStr">
        <is>
          <t>取り出し授業</t>
        </is>
      </c>
      <c r="H62" s="12" t="inlineStr">
        <is>
          <t>LOTE教育</t>
        </is>
      </c>
      <c r="I62" s="12" t="inlineStr">
        <is>
          <t>イマージョン・プログラムは教科の授業を第二言語で行うことにより、教科内容の学習と第二言語習得を同時に達成する教育方法です。カナダのモントリオールで1965年に始まったフランス語イマージョンが起源で、世界各地に広まりました。</t>
        </is>
      </c>
      <c r="J62" s="12" t="inlineStr">
        <is>
          <t>A：維持型バイリンガル教育は少数言語を母語とする子どもの言語能力を維持・発展させることを目的とした教育で、文化的アイデンティティの保持を重視します。C：取り出し授業は通常の授業から児童を別室に連れ出して個別に日本語指導を行う方法です。D：LOTE教育はオーストラリアの英語以外の言語教育で、イマージョンとは異なる枠組みです。</t>
        </is>
      </c>
      <c r="K62" s="12" t="inlineStr">
        <is>
          <t>教程4</t>
        </is>
      </c>
    </row>
    <row r="63" ht="50.1" customHeight="1">
      <c r="A63" s="12" t="n">
        <v>62</v>
      </c>
      <c r="B63" s="12" t="inlineStr">
        <is>
          <t>★</t>
        </is>
      </c>
      <c r="C63" s="12" t="inlineStr">
        <is>
          <t>別室で日本語指導を行うことを何と言うか。</t>
        </is>
      </c>
      <c r="D63" s="12" t="inlineStr">
        <is>
          <t>B</t>
        </is>
      </c>
      <c r="E63" s="12" t="inlineStr">
        <is>
          <t>入り込み授業</t>
        </is>
      </c>
      <c r="F63" s="12" t="inlineStr">
        <is>
          <t>取り出し授業</t>
        </is>
      </c>
      <c r="G63" s="12" t="inlineStr">
        <is>
          <t>拠点校方式</t>
        </is>
      </c>
      <c r="H63" s="12" t="inlineStr">
        <is>
          <t>センター校方式</t>
        </is>
      </c>
      <c r="I63" s="12" t="inlineStr">
        <is>
          <t>取り出し授業は、日本語指導が必要な児童生徒を通常の授業中に別室に「取り出して」、少人数で日本語指導や教科補習を行う方式です。個々のレベルに応じた指導ができる反面、通常学級での授業参加機会が減るという課題があります。</t>
        </is>
      </c>
      <c r="J63" s="12" t="inlineStr">
        <is>
          <t>A：入り込み授業は児童を別室に連れ出さず、通常の教室内で支援員が学習をサポートする方式です。C：拠点校方式は日本語指導体制が整った特定の学校に児童を集中在籍させる方式です。D：センター校方式は特定の学校の日本語教室に、他校の児童が定期的に通う方式です。</t>
        </is>
      </c>
      <c r="K63" s="12" t="inlineStr">
        <is>
          <t>教程4</t>
        </is>
      </c>
    </row>
    <row r="64" ht="50.1" customHeight="1">
      <c r="A64" s="12" t="n">
        <v>63</v>
      </c>
      <c r="B64" s="12" t="inlineStr">
        <is>
          <t>★</t>
        </is>
      </c>
      <c r="C64" s="12" t="inlineStr">
        <is>
          <t>授業中に支援員が教室内で児童をサポートする方式を何と言うか。</t>
        </is>
      </c>
      <c r="D64" s="12" t="inlineStr">
        <is>
          <t>B</t>
        </is>
      </c>
      <c r="E64" s="12" t="inlineStr">
        <is>
          <t>取り出し授業</t>
        </is>
      </c>
      <c r="F64" s="12" t="inlineStr">
        <is>
          <t>入り込み授業</t>
        </is>
      </c>
      <c r="G64" s="12" t="inlineStr">
        <is>
          <t>拠点校方式</t>
        </is>
      </c>
      <c r="H64" s="12" t="inlineStr">
        <is>
          <t>センター校方式</t>
        </is>
      </c>
      <c r="I64" s="12" t="inlineStr">
        <is>
          <t>入り込み授業は、日本語支援員やボランティアが通常の教室に「入り込んで」、授業中に対象児童の隣で通訳や学習支援を行う方式です。児童が通常学級に在籍したまま支援を受けられるため、クラスの一員としての帰属意識が保たれます。</t>
        </is>
      </c>
      <c r="J64" s="12" t="inlineStr">
        <is>
          <t>A：取り出し授業は別室に連れ出して指導する方式で、入り込み授業とは場所が異なります。C：拠点校方式は学校単位の体制の話で、授業内の支援方法ではありません。D：センター校方式も学校間の連携体制であり、授業内の支援方式ではありません。</t>
        </is>
      </c>
      <c r="K64" s="12" t="inlineStr">
        <is>
          <t>教程4</t>
        </is>
      </c>
    </row>
    <row r="65" ht="50.1" customHeight="1">
      <c r="A65" s="12" t="n">
        <v>64</v>
      </c>
      <c r="B65" s="12" t="inlineStr">
        <is>
          <t>★★</t>
        </is>
      </c>
      <c r="C65" s="12" t="inlineStr">
        <is>
          <t>京都を中心に同心円状に方言が広がるパターンを何と言うか。</t>
        </is>
      </c>
      <c r="D65" s="12" t="inlineStr">
        <is>
          <t>B</t>
        </is>
      </c>
      <c r="E65" s="12" t="inlineStr">
        <is>
          <t>東西分布型</t>
        </is>
      </c>
      <c r="F65" s="12" t="inlineStr">
        <is>
          <t>周圏分布型</t>
        </is>
      </c>
      <c r="G65" s="12" t="inlineStr">
        <is>
          <t>複雑分布型</t>
        </is>
      </c>
      <c r="H65" s="12" t="inlineStr">
        <is>
          <t>放射分布型</t>
        </is>
      </c>
      <c r="I65" s="12" t="inlineStr">
        <is>
          <t>周圏分布型は、文化の中心地（京都）から新しい語形が波紋のように広がり、周辺部に古い語形が残るという言語地理学のパターンです。柳田國男は『蝸牛考（かたつむり考）』で「かたつむり」の方言分布を分析し、この理論を示しました。</t>
        </is>
      </c>
      <c r="J65" s="12" t="inlineStr">
        <is>
          <t>A：東西分布型は日本列島を東西に分けた際に語形が異なるパターン（例：東の「おたまじゃくし」と西の「がえるご」）です。C：複雑分布型は規則的な分布パターンが見られないものです。D：放射分布型という用語は方言学では一般的に使われません。</t>
        </is>
      </c>
      <c r="K65" s="12" t="inlineStr">
        <is>
          <t>教程4</t>
        </is>
      </c>
    </row>
    <row r="66" ht="50.1" customHeight="1">
      <c r="A66" s="12" t="n">
        <v>65</v>
      </c>
      <c r="B66" s="12" t="inlineStr">
        <is>
          <t>★★</t>
        </is>
      </c>
      <c r="C66" s="12" t="inlineStr">
        <is>
          <t>人が本来持っている力を活性化させることを何と言うか。</t>
        </is>
      </c>
      <c r="D66" s="12" t="inlineStr">
        <is>
          <t>A</t>
        </is>
      </c>
      <c r="E66" s="12" t="inlineStr">
        <is>
          <t>エンパワーメント</t>
        </is>
      </c>
      <c r="F66" s="12" t="inlineStr">
        <is>
          <t>アコモデーション</t>
        </is>
      </c>
      <c r="G66" s="12" t="inlineStr">
        <is>
          <t>アカルチュレーション</t>
        </is>
      </c>
      <c r="H66" s="12" t="inlineStr">
        <is>
          <t>スキャフォールディング</t>
        </is>
      </c>
      <c r="I66" s="12" t="inlineStr">
        <is>
          <t>エンパワーメントは「力をつけること」「権限を与えること」を意味し、社会的弱者が自らの力で状況を改善していくプロセスを指します。日本語教育では、外国人住民が日本語力をつけて自律的に社会参加できるよう支援することがエンパワーメントにつながります。</t>
        </is>
      </c>
      <c r="J66" s="12" t="inlineStr">
        <is>
          <t>B：アコモデーションはジャイルズが提唱した理論で、相手に合わせて言語行動を調整することです。C：アカルチュレーション（文化変容）は異なる文化が接触した際に一方または双方の文化が変化するプロセスです。D：スキャフォールディング（足場かけ）は学習者が自力でできない課題に対して、教師が段階的に支援を行う教育手法です。</t>
        </is>
      </c>
      <c r="K66" s="12" t="inlineStr">
        <is>
          <t>教程4</t>
        </is>
      </c>
    </row>
    <row r="67" ht="50.1" customHeight="1">
      <c r="A67" s="12" t="n">
        <v>66</v>
      </c>
      <c r="B67" s="12" t="inlineStr">
        <is>
          <t>★★</t>
        </is>
      </c>
      <c r="C67" s="12" t="inlineStr">
        <is>
          <t>ダイグロシアの例として挙げられている国はどれか。</t>
        </is>
      </c>
      <c r="D67" s="12" t="inlineStr">
        <is>
          <t>B</t>
        </is>
      </c>
      <c r="E67" s="12" t="inlineStr">
        <is>
          <t>アメリカ</t>
        </is>
      </c>
      <c r="F67" s="12" t="inlineStr">
        <is>
          <t>シンガポール</t>
        </is>
      </c>
      <c r="G67" s="12" t="inlineStr">
        <is>
          <t>フランス</t>
        </is>
      </c>
      <c r="H67" s="12" t="inlineStr">
        <is>
          <t>韓国</t>
        </is>
      </c>
      <c r="I67" s="12" t="inlineStr">
        <is>
          <t>シンガポールは4つの公用語（英語・中国語・マレー語・タミル語）を持ち、公的場面では英語（H変種）、家庭や日常では各民族の言語（L変種）が使い分けられるダイグロシアの典型例です。さらにシングリッシュ（シンガポール英語）という混合変種も存在します。</t>
        </is>
      </c>
      <c r="J67" s="12" t="inlineStr">
        <is>
          <t>A：アメリカは英語が事実上の共通語として使われており、典型的なダイグロシアの例としては挙げられません。C：フランスはフランス語が圧倒的に優位で、ダイグロシアの典型例ではありません。D：韓国は韓国語（朝鮮語）がほぼ唯一の使用言語で、ダイグロシアの例ではありません。</t>
        </is>
      </c>
      <c r="K67" s="12" t="inlineStr">
        <is>
          <t>教程4</t>
        </is>
      </c>
    </row>
    <row r="68" ht="50.1" customHeight="1">
      <c r="A68" s="12" t="n">
        <v>67</v>
      </c>
      <c r="B68" s="12" t="inlineStr">
        <is>
          <t>★</t>
        </is>
      </c>
      <c r="C68" s="12" t="inlineStr">
        <is>
          <t>JFスタンダードが育成する能力は課題遂行能力ともう一つは何か。</t>
        </is>
      </c>
      <c r="D68" s="12" t="inlineStr">
        <is>
          <t>B</t>
        </is>
      </c>
      <c r="E68" s="12" t="inlineStr">
        <is>
          <t>文法能力</t>
        </is>
      </c>
      <c r="F68" s="12" t="inlineStr">
        <is>
          <t>異文化理解能力</t>
        </is>
      </c>
      <c r="G68" s="12" t="inlineStr">
        <is>
          <t>読解能力</t>
        </is>
      </c>
      <c r="H68" s="12" t="inlineStr">
        <is>
          <t>翻訳能力</t>
        </is>
      </c>
      <c r="I68" s="12" t="inlineStr">
        <is>
          <t>JFスタンダードはCEFRの理念を踏まえ、日本語教育の目標を「課題遂行能力」と「異文化理解能力」の2本柱で捉えています。単に言語知識を増やすだけでなく、実際のコミュニケーション場面で日本語を使って課題を達成し、異文化間の相互理解を深めることを目指しています。</t>
        </is>
      </c>
      <c r="J68" s="12" t="inlineStr">
        <is>
          <t>A：文法能力は言語能力の一部ですが、JFスタンダードが育成する主要能力としては挙げられていません。C：読解能力は言語技能の一つですが、JFスタンダードの2本柱ではありません。D：翻訳能力はJFスタンダードの育成目標には含まれていません。</t>
        </is>
      </c>
      <c r="K68" s="12" t="inlineStr">
        <is>
          <t>教程5</t>
        </is>
      </c>
    </row>
    <row r="69" ht="50.1" customHeight="1">
      <c r="A69" s="12" t="n">
        <v>68</v>
      </c>
      <c r="B69" s="12" t="inlineStr">
        <is>
          <t>★</t>
        </is>
      </c>
      <c r="C69" s="12" t="inlineStr">
        <is>
          <t>JFスタンダードはどの枠組みに基づいて開発されたか。</t>
        </is>
      </c>
      <c r="D69" s="12" t="inlineStr">
        <is>
          <t>B</t>
        </is>
      </c>
      <c r="E69" s="12" t="inlineStr">
        <is>
          <t>TOEFL</t>
        </is>
      </c>
      <c r="F69" s="12" t="inlineStr">
        <is>
          <t>CEFR</t>
        </is>
      </c>
      <c r="G69" s="12" t="inlineStr">
        <is>
          <t>ACTFL</t>
        </is>
      </c>
      <c r="H69" s="12" t="inlineStr">
        <is>
          <t>IELTS</t>
        </is>
      </c>
      <c r="I69" s="12" t="inlineStr">
        <is>
          <t>JFスタンダードは2010年に国際交流基金が発表したもので、CEFR（Common European Framework of Reference for Languages）の枠組みを日本語教育に適用しています。「JFスタンダードの木」という独自の体系で言語能力を示しています。</t>
        </is>
      </c>
      <c r="J69" s="12" t="inlineStr">
        <is>
          <t>A：TOEFLはアメリカのETS（Educational Testing Service）が開発した英語能力テストで、JFスタンダードの基盤ではありません。C：ACTFLは全米外国語教育協会で、OPIなどのテスト開発を行っていますが、JFスタンダードの基盤はCEFRです。D：IELTSはイギリス発の英語能力テストです。</t>
        </is>
      </c>
      <c r="K69" s="12" t="inlineStr">
        <is>
          <t>教程5</t>
        </is>
      </c>
    </row>
    <row r="70" ht="50.1" customHeight="1">
      <c r="A70" s="12" t="n">
        <v>69</v>
      </c>
      <c r="B70" s="12" t="inlineStr">
        <is>
          <t>★★</t>
        </is>
      </c>
      <c r="C70" s="12" t="inlineStr">
        <is>
          <t>JFスタンダードの木の枝に含まれる3項目はどれか。</t>
        </is>
      </c>
      <c r="D70" s="12" t="inlineStr">
        <is>
          <t>B</t>
        </is>
      </c>
      <c r="E70" s="12" t="inlineStr">
        <is>
          <t>聞く・話す・書く</t>
        </is>
      </c>
      <c r="F70" s="12" t="inlineStr">
        <is>
          <t>受容・産出・やりとり</t>
        </is>
      </c>
      <c r="G70" s="12" t="inlineStr">
        <is>
          <t>文法・語彙・発音</t>
        </is>
      </c>
      <c r="H70" s="12" t="inlineStr">
        <is>
          <t>読解・聴解・記述</t>
        </is>
      </c>
      <c r="I70" s="12" t="inlineStr">
        <is>
          <t>JFスタンダードの木では、言語活動を「受容（聞く・読む）」「産出（話す・書く）」「やりとり（口頭・文字）」の3つの枝に分けています。これはCEFRの言語活動分類に基づいており、特に「やりとり」を独立させた点が、従来の4技能（聞く・話す・読む・書く）分類との大きな違いです。</t>
        </is>
      </c>
      <c r="J70" s="12" t="inlineStr">
        <is>
          <t>A：「聞く・話す・書く」は言語技能の一部ですが、JFスタンダードの木の枝の分類とは異なります。C：「文法・語彙・発音」は木の「根」にあたる言語能力（言語構造的能力）の下位要素です。D：「読解・聴解・記述」は試験の科目名であり、JFスタンダードの木の分類ではありません。</t>
        </is>
      </c>
      <c r="K70" s="12" t="inlineStr">
        <is>
          <t>教程5</t>
        </is>
      </c>
    </row>
    <row r="71" ht="50.1" customHeight="1">
      <c r="A71" s="12" t="n">
        <v>70</v>
      </c>
      <c r="B71" s="12" t="inlineStr">
        <is>
          <t>★★</t>
        </is>
      </c>
      <c r="C71" s="12" t="inlineStr">
        <is>
          <t>CEFRのB1・B2は何と呼ばれるか。</t>
        </is>
      </c>
      <c r="D71" s="12" t="inlineStr">
        <is>
          <t>B</t>
        </is>
      </c>
      <c r="E71" s="12" t="inlineStr">
        <is>
          <t>基礎段階の言語使用者</t>
        </is>
      </c>
      <c r="F71" s="12" t="inlineStr">
        <is>
          <t>自立した言語使用者</t>
        </is>
      </c>
      <c r="G71" s="12" t="inlineStr">
        <is>
          <t>熟達した言語使用者</t>
        </is>
      </c>
      <c r="H71" s="12" t="inlineStr">
        <is>
          <t>初級言語使用者</t>
        </is>
      </c>
      <c r="I71" s="12" t="inlineStr">
        <is>
          <t>CEFRは言語能力を6段階に分けており、B1・B2は「自立した言語使用者」です。B1は仕事・学校・旅行などで主要な点を理解でき、B2はネイティブスピーカーとある程度流暢にやりとりできるレベルです。</t>
        </is>
      </c>
      <c r="J71" s="12" t="inlineStr">
        <is>
          <t>A：「基礎段階の言語使用者（Basic User）」はA1・A2のレベルです。C：「熟達した言語使用者（Proficient User）」はC1・C2のレベルです。D：「初級言語使用者」という名称はCEFRでは使われていません。</t>
        </is>
      </c>
      <c r="K71" s="12" t="inlineStr">
        <is>
          <t>教程5</t>
        </is>
      </c>
    </row>
    <row r="72" ht="50.1" customHeight="1">
      <c r="A72" s="12" t="n">
        <v>71</v>
      </c>
      <c r="B72" s="12" t="inlineStr">
        <is>
          <t>★★</t>
        </is>
      </c>
      <c r="C72" s="12" t="inlineStr">
        <is>
          <t>シャノン＆ウィーバーのコミュニケーションモデルの特徴はどれか。</t>
        </is>
      </c>
      <c r="D72" s="12" t="inlineStr">
        <is>
          <t>B</t>
        </is>
      </c>
      <c r="E72" s="12" t="inlineStr">
        <is>
          <t>相互的で意味を共同構築する</t>
        </is>
      </c>
      <c r="F72" s="12" t="inlineStr">
        <is>
          <t>直線的で送り手から受け手に伝達する</t>
        </is>
      </c>
      <c r="G72" s="12" t="inlineStr">
        <is>
          <t>非言語を重視する</t>
        </is>
      </c>
      <c r="H72" s="12" t="inlineStr">
        <is>
          <t>文化的文脈を重視する</t>
        </is>
      </c>
      <c r="I72" s="12" t="inlineStr">
        <is>
          <t>シャノン＆ウィーバーのモデルは「情報源→送信機→チャネル→受信機→受け手」という一方向的・直線的な流れでコミュニケーションを捉えています。もともと通信工学の理論であり、雑音（ノイズ）の概念も含まれています。人間のコミュニケーションの相互性を捉えられないという批判もあります。</t>
        </is>
      </c>
      <c r="J72" s="12" t="inlineStr">
        <is>
          <t>A：「相互的で意味を共同構築する」は構成主義（社会構成主義）のコミュニケーションモデルの特徴です。C：非言語コミュニケーションはシャノン＆ウィーバーのモデルの主な関心ではありません。D：文化的文脈の重視は異文化コミュニケーション研究の視点であり、このモデルの特徴ではありません。</t>
        </is>
      </c>
      <c r="K72" s="12" t="inlineStr">
        <is>
          <t>教程5</t>
        </is>
      </c>
    </row>
    <row r="73" ht="50.1" customHeight="1">
      <c r="A73" s="12" t="n">
        <v>72</v>
      </c>
      <c r="B73" s="12" t="inlineStr">
        <is>
          <t>★★</t>
        </is>
      </c>
      <c r="C73" s="12" t="inlineStr">
        <is>
          <t>コミュニケーション能力（コミュニカティブ・コンピテンス）を提唱した学者は誰か。</t>
        </is>
      </c>
      <c r="D73" s="12" t="inlineStr">
        <is>
          <t>B</t>
        </is>
      </c>
      <c r="E73" s="12" t="inlineStr">
        <is>
          <t>チョムスキー</t>
        </is>
      </c>
      <c r="F73" s="12" t="inlineStr">
        <is>
          <t>ハイムズ</t>
        </is>
      </c>
      <c r="G73" s="12" t="inlineStr">
        <is>
          <t>カナル</t>
        </is>
      </c>
      <c r="H73" s="12" t="inlineStr">
        <is>
          <t>タローン</t>
        </is>
      </c>
      <c r="I73" s="12" t="inlineStr">
        <is>
          <t>ハイムズは1972年に、チョムスキーの「言語能力（linguistic competence）」の概念を批判し、「コミュニカティブ・コンピテンス（communicative competence）」を提唱しました。文法的に正しいだけでなく、社会的に適切な言語使用ができる能力が重要だと主張しました。</t>
        </is>
      </c>
      <c r="J73" s="12" t="inlineStr">
        <is>
          <t>A：チョムスキーは「言語能力（linguistic competence）」の概念を提唱した人物で、理想的な話者・聞き手の抽象的な言語知識を扱いました。C：カナル（Canale）はハイムズの概念を発展させ、伝達能力を4つの構成要素に分類しました。D：タローン（Tarone）はコミュニケーション・ストラテジーの分類を行った研究者です。</t>
        </is>
      </c>
      <c r="K73" s="12" t="inlineStr">
        <is>
          <t>教程5</t>
        </is>
      </c>
    </row>
    <row r="74" ht="50.1" customHeight="1">
      <c r="A74" s="12" t="n">
        <v>73</v>
      </c>
      <c r="B74" s="12" t="inlineStr">
        <is>
          <t>★★</t>
        </is>
      </c>
      <c r="C74" s="12" t="inlineStr">
        <is>
          <t>カナルの伝達能力の4構成要素に含まれないものはどれか。</t>
        </is>
      </c>
      <c r="D74" s="12" t="inlineStr">
        <is>
          <t>D</t>
        </is>
      </c>
      <c r="E74" s="12" t="inlineStr">
        <is>
          <t>文法能力</t>
        </is>
      </c>
      <c r="F74" s="12" t="inlineStr">
        <is>
          <t>社会言語学的能力</t>
        </is>
      </c>
      <c r="G74" s="12" t="inlineStr">
        <is>
          <t>ストラテジー能力</t>
        </is>
      </c>
      <c r="H74" s="12" t="inlineStr">
        <is>
          <t>翻訳能力</t>
        </is>
      </c>
      <c r="I74" s="12" t="inlineStr">
        <is>
          <t>カナルとスウェイン（Canale &amp; Swain, 1980年、のちカナル1983年に改訂）は伝達能力を次の4つに分類しました：①文法能力（正確な文を作る力）、②社会言語学的能力（場面に応じた適切な表現力）、③談話能力（一貫した談話を構築する力）、④ストラテジー能力（コミュニケーション上の問題を解決する力）。</t>
        </is>
      </c>
      <c r="J74" s="12" t="inlineStr">
        <is>
          <t>A：文法能力は4構成要素の一つで、語彙・音韻・形態・統語の規則に関する知識です。B：社会言語学的能力も4構成要素の一つで、社会的ルール（丁寧さ、敬語の使い分けなど）に関する能力です。C：ストラテジー能力も4構成要素の一つで、言い換え・回避・援助要求などの方略を使う能力です。</t>
        </is>
      </c>
      <c r="K74" s="12" t="inlineStr">
        <is>
          <t>教程5</t>
        </is>
      </c>
    </row>
    <row r="75" ht="50.1" customHeight="1">
      <c r="A75" s="12" t="n">
        <v>74</v>
      </c>
      <c r="B75" s="12" t="inlineStr">
        <is>
          <t>★★</t>
        </is>
      </c>
      <c r="C75" s="12" t="inlineStr">
        <is>
          <t>タローンのストラテジー分類に含まれないものはどれか。</t>
        </is>
      </c>
      <c r="D75" s="12" t="inlineStr">
        <is>
          <t>C</t>
        </is>
      </c>
      <c r="E75" s="12" t="inlineStr">
        <is>
          <t>回避</t>
        </is>
      </c>
      <c r="F75" s="12" t="inlineStr">
        <is>
          <t>言い換え</t>
        </is>
      </c>
      <c r="G75" s="12" t="inlineStr">
        <is>
          <t>文法分析</t>
        </is>
      </c>
      <c r="H75" s="12" t="inlineStr">
        <is>
          <t>援助要求</t>
        </is>
      </c>
      <c r="I75" s="12" t="inlineStr">
        <is>
          <t>タローンのストラテジー分類は、コミュニケーションで問題が生じた際に学習者が用いる方略を体系化したものです。「文法分析」は言語研究の手法であり、コミュニケーション場面で即座に用いる方略とは異なります。</t>
        </is>
      </c>
      <c r="J75" s="12" t="inlineStr">
        <is>
          <t>A：回避はタローンの分類に含まれ、話題回避（難しい話題を避ける）やメッセージの中断（途中であきらめる）があります。B：言い換えも含まれ、近似表現・造語・迂言（説明的に言い換え）などがあります。D：援助要求も含まれ、「〜は何と言いますか」と相手に助けを求める方略です。</t>
        </is>
      </c>
      <c r="K75" s="12" t="inlineStr">
        <is>
          <t>教程5</t>
        </is>
      </c>
    </row>
    <row r="76" ht="50.1" customHeight="1">
      <c r="A76" s="12" t="n">
        <v>75</v>
      </c>
      <c r="B76" s="12" t="inlineStr">
        <is>
          <t>★★</t>
        </is>
      </c>
      <c r="C76" s="12" t="inlineStr">
        <is>
          <t>高コンテクスト・コミュニケーションの特徴はどれか。</t>
        </is>
      </c>
      <c r="D76" s="12" t="inlineStr">
        <is>
          <t>B</t>
        </is>
      </c>
      <c r="E76" s="12" t="inlineStr">
        <is>
          <t>情報をできるだけ言語化する</t>
        </is>
      </c>
      <c r="F76" s="12" t="inlineStr">
        <is>
          <t>言語による情報依存度が低い</t>
        </is>
      </c>
      <c r="G76" s="12" t="inlineStr">
        <is>
          <t>既知知識が少ない</t>
        </is>
      </c>
      <c r="H76" s="12" t="inlineStr">
        <is>
          <t>すべてを言語化する</t>
        </is>
      </c>
      <c r="I76" s="12" t="inlineStr">
        <is>
          <t>高コンテクスト・コミュニケーションでは、話し手と聞き手が多くの背景知識を共有しているため、すべてを言語化しなくても意味が伝わります。「空気を読む」「以心伝心」「察する」といった日本文化の特徴が高コンテクストの典型です。</t>
        </is>
      </c>
      <c r="J76" s="12" t="inlineStr">
        <is>
          <t>A：「情報をできるだけ言語化する」のは低コンテクスト・コミュニケーションの特徴です。C：「既知知識が少ない」場合は低コンテクストになります。D：「すべてを言語化する」のも低コンテクストの特徴で、ドイツやアメリカの文化に近いとされます。</t>
        </is>
      </c>
      <c r="K76" s="12" t="inlineStr">
        <is>
          <t>教程5</t>
        </is>
      </c>
    </row>
    <row r="77" ht="50.1" customHeight="1">
      <c r="A77" s="12" t="n">
        <v>76</v>
      </c>
      <c r="B77" s="12" t="inlineStr">
        <is>
          <t>★★</t>
        </is>
      </c>
      <c r="C77" s="12" t="inlineStr">
        <is>
          <t>「相手や場面に応じた適切な表現力」はカナルの何に該当するか。</t>
        </is>
      </c>
      <c r="D77" s="12" t="inlineStr">
        <is>
          <t>B</t>
        </is>
      </c>
      <c r="E77" s="12" t="inlineStr">
        <is>
          <t>文法能力</t>
        </is>
      </c>
      <c r="F77" s="12" t="inlineStr">
        <is>
          <t>社会言語学的能力</t>
        </is>
      </c>
      <c r="G77" s="12" t="inlineStr">
        <is>
          <t>ストラテジー能力</t>
        </is>
      </c>
      <c r="H77" s="12" t="inlineStr">
        <is>
          <t>談話能力</t>
        </is>
      </c>
      <c r="I77" s="12" t="inlineStr">
        <is>
          <t>社会言語学的能力は、社会的な規則やルールに基づいて適切な言語表現を選択・使用する能力です。例えば、目上の人には敬語を使う、ビジネス場面ではフォーマルな表現を使う、友人との会話ではカジュアルな表現を使うなどの使い分けがこれに当たります。</t>
        </is>
      </c>
      <c r="J77" s="12" t="inlineStr">
        <is>
          <t>A：文法能力は語彙・形態・統語・音韻のルールに基づいて正確な文を作る能力で、「適切さ」よりも「正確さ」に関わります。C：ストラテジー能力はコミュニケーション上の問題を解決する方略（言い換え・回避・援助要求など）を使う能力です。D：談話能力は文と文をつないで一貫性のある談話を構築する能力で、接続詞の使用や文章構成力などに関わります。</t>
        </is>
      </c>
      <c r="K77" s="12" t="inlineStr">
        <is>
          <t>教程5</t>
        </is>
      </c>
    </row>
    <row r="78" ht="50.1" customHeight="1">
      <c r="A78" s="12" t="n">
        <v>77</v>
      </c>
      <c r="B78" s="12" t="inlineStr">
        <is>
          <t>★</t>
        </is>
      </c>
      <c r="C78" s="12" t="inlineStr">
        <is>
          <t>「日本語教育の参照枠」は日本語能力を何レベルで示しているか。</t>
        </is>
      </c>
      <c r="D78" s="12" t="inlineStr">
        <is>
          <t>C</t>
        </is>
      </c>
      <c r="E78" s="12" t="inlineStr">
        <is>
          <t>4</t>
        </is>
      </c>
      <c r="F78" s="12" t="inlineStr">
        <is>
          <t>5</t>
        </is>
      </c>
      <c r="G78" s="12" t="inlineStr">
        <is>
          <t>6</t>
        </is>
      </c>
      <c r="H78" s="12" t="inlineStr">
        <is>
          <t>7</t>
        </is>
      </c>
      <c r="I78" s="12" t="inlineStr">
        <is>
          <t>日本語教育の参照枠はCEFRと同じ6段階のレベル設定を採用しています。A1・A2（基礎段階）、B1・B2（自立した段階）、C1・C2（熟達した段階）の6レベルで日本語能力を記述し、各レベルのCan-do（能力記述文）を提示しています。</t>
        </is>
      </c>
      <c r="J78" s="12" t="inlineStr">
        <is>
          <t>A：4レベルは旧JLPTの級数（1〜4級）です。B：5レベルは現行JLPTのレベル数（N1〜N5）です。D：7レベルという枠組みはありません。参照枠はCEFRと同じ6段階です。</t>
        </is>
      </c>
      <c r="K78" s="12" t="inlineStr">
        <is>
          <t>教程5</t>
        </is>
      </c>
    </row>
    <row r="79" ht="50.1" customHeight="1">
      <c r="A79" s="12" t="n">
        <v>78</v>
      </c>
      <c r="B79" s="12" t="inlineStr">
        <is>
          <t>★★</t>
        </is>
      </c>
      <c r="C79" s="12" t="inlineStr">
        <is>
          <t>JF生活日本語Can-doの主な対象者はどのような外国人か。</t>
        </is>
      </c>
      <c r="D79" s="12" t="inlineStr">
        <is>
          <t>B</t>
        </is>
      </c>
      <c r="E79" s="12" t="inlineStr">
        <is>
          <t>留学生</t>
        </is>
      </c>
      <c r="F79" s="12" t="inlineStr">
        <is>
          <t>特定技能等で来日する外国人</t>
        </is>
      </c>
      <c r="G79" s="12" t="inlineStr">
        <is>
          <t>日本語教師志望者</t>
        </is>
      </c>
      <c r="H79" s="12" t="inlineStr">
        <is>
          <t>観光客</t>
        </is>
      </c>
      <c r="I79" s="12" t="inlineStr">
        <is>
          <t>JF生活日本語Can-doは国際交流基金が開発したもので、特定技能などで来日する外国人が日本での日常生活で必要となる日本語能力をA1・A2レベルのCan-doとして整理しています。買い物、病院、役所手続き、職場など生活に密着した場面を網羅しています。</t>
        </is>
      </c>
      <c r="J79" s="12" t="inlineStr">
        <is>
          <t>A：留学生は主にEJUやJLPTの枠組みで日本語能力が評価され、JF生活日本語Can-doの主な対象ではありません。C：日本語教師志望者は日本語教育能力検定試験や教師養成課程が対象です。D：観光客は短期滞在であり、生活日本語の主な対象ではありません。</t>
        </is>
      </c>
      <c r="K79" s="12" t="inlineStr">
        <is>
          <t>教程5</t>
        </is>
      </c>
    </row>
    <row r="80" ht="50.1" customHeight="1">
      <c r="A80" s="12" t="n">
        <v>79</v>
      </c>
      <c r="B80" s="12" t="inlineStr">
        <is>
          <t>★</t>
        </is>
      </c>
      <c r="C80" s="12" t="inlineStr">
        <is>
          <t>自らが望む言語を自由に使用できる権利を何と言うか。</t>
        </is>
      </c>
      <c r="D80" s="12" t="inlineStr">
        <is>
          <t>B</t>
        </is>
      </c>
      <c r="E80" s="12" t="inlineStr">
        <is>
          <t>言語保障</t>
        </is>
      </c>
      <c r="F80" s="12" t="inlineStr">
        <is>
          <t>言語権</t>
        </is>
      </c>
      <c r="G80" s="12" t="inlineStr">
        <is>
          <t>言語サービス</t>
        </is>
      </c>
      <c r="H80" s="12" t="inlineStr">
        <is>
          <t>言語政策</t>
        </is>
      </c>
      <c r="I80" s="12" t="inlineStr">
        <is>
          <t>言語権（linguistic rights）は、個人が自らの言語を使用し、維持し、発展させる権利です。少数言語の保護、母語教育を受ける権利、公的サービスへのアクセスなどを含む概念で、多文化共生社会の基盤となる権利です。</t>
        </is>
      </c>
      <c r="J80" s="12" t="inlineStr">
        <is>
          <t>A：言語保障は言語権を実際に保障するための制度的・社会的な仕組みのことで、権利そのものではなく、権利を実現するための取り組みです。C：言語サービスは通訳・翻訳など具体的な言語的支援を指し、権利の概念とは異なります。D：言語政策は国家が言語に関して行う政策全般を指します。</t>
        </is>
      </c>
      <c r="K80" s="12" t="inlineStr">
        <is>
          <t>教程6</t>
        </is>
      </c>
    </row>
    <row r="81" ht="50.1" customHeight="1">
      <c r="A81" s="12" t="n">
        <v>80</v>
      </c>
      <c r="B81" s="12" t="inlineStr">
        <is>
          <t>★</t>
        </is>
      </c>
      <c r="C81" s="12" t="inlineStr">
        <is>
          <t>外国人集住都市会議の第1回会議が開催された都市はどこか。</t>
        </is>
      </c>
      <c r="D81" s="12" t="inlineStr">
        <is>
          <t>C</t>
        </is>
      </c>
      <c r="E81" s="12" t="inlineStr">
        <is>
          <t>東京</t>
        </is>
      </c>
      <c r="F81" s="12" t="inlineStr">
        <is>
          <t>名古屋</t>
        </is>
      </c>
      <c r="G81" s="12" t="inlineStr">
        <is>
          <t>浜松市</t>
        </is>
      </c>
      <c r="H81" s="12" t="inlineStr">
        <is>
          <t>大阪</t>
        </is>
      </c>
      <c r="I81" s="12" t="inlineStr">
        <is>
          <t>2001年に静岡県浜松市で第1回外国人集住都市会議が開催されました。浜松市は自動車産業が盛んで日系人が多く居住しており、外国人住民に関する課題を共有し、国への政策提言を行うための場として設立されました。</t>
        </is>
      </c>
      <c r="J81" s="12" t="inlineStr">
        <is>
          <t>A：東京は外国人集住都市会議の開催地ではありません。B：名古屋も開催地ではありません。D：大阪も開催地ではありません。浜松市が選ばれたのは、日系人が多く集住する代表的な都市だったためです。</t>
        </is>
      </c>
      <c r="K81" s="12" t="inlineStr">
        <is>
          <t>教程6</t>
        </is>
      </c>
    </row>
    <row r="82" ht="50.1" customHeight="1">
      <c r="A82" s="12" t="n">
        <v>81</v>
      </c>
      <c r="B82" s="12" t="inlineStr">
        <is>
          <t>★★★</t>
        </is>
      </c>
      <c r="C82" s="12" t="inlineStr">
        <is>
          <t>外国人集住都市会議の会員都市（2023年）に含まれないのはどれか。</t>
        </is>
      </c>
      <c r="D82" s="12" t="inlineStr">
        <is>
          <t>C</t>
        </is>
      </c>
      <c r="E82" s="12" t="inlineStr">
        <is>
          <t>大泉町</t>
        </is>
      </c>
      <c r="F82" s="12" t="inlineStr">
        <is>
          <t>豊橋市</t>
        </is>
      </c>
      <c r="G82" s="12" t="inlineStr">
        <is>
          <t>横浜市</t>
        </is>
      </c>
      <c r="H82" s="12" t="inlineStr">
        <is>
          <t>浜松市</t>
        </is>
      </c>
      <c r="I82" s="12" t="inlineStr">
        <is>
          <t>外国人集住都市会議は、特に製造業が盛んな中小都市で日系人等が集中的に居住する自治体が参加しています。横浜市は外国人居住者は多いものの、人口全体に対する比率や集住の特性が異なるため、会員都市に含まれていません。</t>
        </is>
      </c>
      <c r="J82" s="12" t="inlineStr">
        <is>
          <t>A：大泉町（群馬県）はSUBARUの工場があり、日系ブラジル人の比率が非常に高い代表的な集住都市です。B：豊橋市（愛知県）も自動車関連産業で外国人労働者が多い会員都市です。D：浜松市は第1回会議の開催地であり、設立時からの中核的な会員都市です。</t>
        </is>
      </c>
      <c r="K82" s="12" t="inlineStr">
        <is>
          <t>教程6</t>
        </is>
      </c>
    </row>
    <row r="83" ht="50.1" customHeight="1">
      <c r="A83" s="12" t="n">
        <v>82</v>
      </c>
      <c r="B83" s="12" t="inlineStr">
        <is>
          <t>★</t>
        </is>
      </c>
      <c r="C83" s="12" t="inlineStr">
        <is>
          <t>やさしい日本語の取組のきっかけとなった災害は何か。</t>
        </is>
      </c>
      <c r="D83" s="12" t="inlineStr">
        <is>
          <t>C</t>
        </is>
      </c>
      <c r="E83" s="12" t="inlineStr">
        <is>
          <t>東日本大震災</t>
        </is>
      </c>
      <c r="F83" s="12" t="inlineStr">
        <is>
          <t>新潟県中越地震</t>
        </is>
      </c>
      <c r="G83" s="12" t="inlineStr">
        <is>
          <t>阪神・淡路大震災</t>
        </is>
      </c>
      <c r="H83" s="12" t="inlineStr">
        <is>
          <t>熊本地震</t>
        </is>
      </c>
      <c r="I83" s="12" t="inlineStr">
        <is>
          <t>1995年の阪神・淡路大震災では、外国人住民が日本語の災害情報を理解できず被害が拡大しました。これを教訓に、外国人にも分かりやすい日本語で情報を伝える「やさしい日本語」の研究・実践が始まりました。弘前大学の社会言語学研究室が中心的な役割を果たしました。</t>
        </is>
      </c>
      <c r="J83" s="12" t="inlineStr">
        <is>
          <t>A：東日本大震災（2011年）はやさしい日本語の活用が広がるきっかけにはなりましたが、取組自体の発端は阪神・淡路大震災です。B：新潟県中越地震（2004年）もやさしい日本語の普及に寄与しましたが、きっかけではありません。D：熊本地震（2016年）もきっかけではありません。</t>
        </is>
      </c>
      <c r="K83" s="12" t="inlineStr">
        <is>
          <t>教程6</t>
        </is>
      </c>
    </row>
    <row r="84" ht="50.1" customHeight="1">
      <c r="A84" s="12" t="n">
        <v>83</v>
      </c>
      <c r="B84" s="12" t="inlineStr">
        <is>
          <t>★★</t>
        </is>
      </c>
      <c r="C84" s="12" t="inlineStr">
        <is>
          <t>「やさしい日本語ガイドライン」を作成した機関はどこか。</t>
        </is>
      </c>
      <c r="D84" s="12" t="inlineStr">
        <is>
          <t>B</t>
        </is>
      </c>
      <c r="E84" s="12" t="inlineStr">
        <is>
          <t>文部科学省と国際交流基金</t>
        </is>
      </c>
      <c r="F84" s="12" t="inlineStr">
        <is>
          <t>出入国在留管理庁と文化庁</t>
        </is>
      </c>
      <c r="G84" s="12" t="inlineStr">
        <is>
          <t>法務省と外務省</t>
        </is>
      </c>
      <c r="H84" s="12" t="inlineStr">
        <is>
          <t>総務省と厚生労働省</t>
        </is>
      </c>
      <c r="I84" s="12" t="inlineStr">
        <is>
          <t>2020年に出入国在留管理庁と文化庁が共同で「在留支援のためのやさしい日本語ガイドライン」を作成しました。外国人住民への情報提供を多言語対応だけでなく、やさしい日本語でも行うことを推進するための指針です。</t>
        </is>
      </c>
      <c r="J84" s="12" t="inlineStr">
        <is>
          <t>A：文部科学省と国際交流基金の共同ではありません。C：法務省と外務省の共同でもありません。D：総務省と厚生労働省の共同でもありません。出入国在留管理庁（法務省の外局）と文化庁の共同作成が正しい組み合わせです。</t>
        </is>
      </c>
      <c r="K84" s="12" t="inlineStr">
        <is>
          <t>教程6</t>
        </is>
      </c>
    </row>
    <row r="85" ht="50.1" customHeight="1">
      <c r="A85" s="12" t="n">
        <v>84</v>
      </c>
      <c r="B85" s="12" t="inlineStr">
        <is>
          <t>★★</t>
        </is>
      </c>
      <c r="C85" s="12" t="inlineStr">
        <is>
          <t>高度人材ポイント制とは何か。</t>
        </is>
      </c>
      <c r="D85" s="12" t="inlineStr">
        <is>
          <t>B</t>
        </is>
      </c>
      <c r="E85" s="12" t="inlineStr">
        <is>
          <t>JLPT制度</t>
        </is>
      </c>
      <c r="F85" s="12" t="inlineStr">
        <is>
          <t>高度外国人材への出入国管理上の優遇措置</t>
        </is>
      </c>
      <c r="G85" s="12" t="inlineStr">
        <is>
          <t>奨学金制度</t>
        </is>
      </c>
      <c r="H85" s="12" t="inlineStr">
        <is>
          <t>技能実習生の評価</t>
        </is>
      </c>
      <c r="I85" s="12" t="inlineStr">
        <is>
          <t>高度人材ポイント制は、高度な知識・技術を持つ外国人材の受入れを促進するため、2012年に導入されました。学歴・職歴・年収・年齢・日本語能力・研究実績などにポイントを付け、合計70ポイント以上で在留期間「5年」の付与、永住許可要件の緩和などの優遇が受けられます。</t>
        </is>
      </c>
      <c r="J85" s="12" t="inlineStr">
        <is>
          <t>A：JLPTは日本語能力試験の制度で、高度人材ポイント制とは別の制度です（ただしJLPT N1合格は15ポイントの加点対象）。C：奨学金制度は学生支援の制度で、出入国管理の優遇措置ではありません。D：技能実習生の評価は技能実習制度の枠組みで行われ、高度人材ポイント制とは異なります。</t>
        </is>
      </c>
      <c r="K85" s="12" t="inlineStr">
        <is>
          <t>教程6</t>
        </is>
      </c>
    </row>
    <row r="86" ht="50.1" customHeight="1">
      <c r="A86" s="12" t="n">
        <v>85</v>
      </c>
      <c r="B86" s="12" t="inlineStr">
        <is>
          <t>★★</t>
        </is>
      </c>
      <c r="C86" s="12" t="inlineStr">
        <is>
          <t>技能実習制度が発足したのは何年か。</t>
        </is>
      </c>
      <c r="D86" s="12" t="inlineStr">
        <is>
          <t>B</t>
        </is>
      </c>
      <c r="E86" s="12" t="inlineStr">
        <is>
          <t>1990年</t>
        </is>
      </c>
      <c r="F86" s="12" t="inlineStr">
        <is>
          <t>1993年</t>
        </is>
      </c>
      <c r="G86" s="12" t="inlineStr">
        <is>
          <t>2008年</t>
        </is>
      </c>
      <c r="H86" s="12" t="inlineStr">
        <is>
          <t>2017年</t>
        </is>
      </c>
      <c r="I86" s="12" t="inlineStr">
        <is>
          <t>技能実習制度は1993年に、それまでの「研修制度」を拡充する形で始まりました。開発途上国の人材育成に協力するという国際貢献が目的ですが、労働条件の問題や人権侵害などが課題として指摘されてきました。</t>
        </is>
      </c>
      <c r="J86" s="12" t="inlineStr">
        <is>
          <t>A：1990年は改正入管法が施行され、日系人に「定住者」の在留資格が付与された年です。C：2008年は在留資格「技能実習」が新設された年（2010年施行）です。D：2017年は「外国人技能実習適正化法（技能実習法）」が施行された年です。</t>
        </is>
      </c>
      <c r="K86" s="12" t="inlineStr">
        <is>
          <t>教程6</t>
        </is>
      </c>
    </row>
    <row r="87" ht="50.1" customHeight="1">
      <c r="A87" s="12" t="n">
        <v>86</v>
      </c>
      <c r="B87" s="12" t="inlineStr">
        <is>
          <t>★</t>
        </is>
      </c>
      <c r="C87" s="12" t="inlineStr">
        <is>
          <t>技能実習制度に代わる新制度の名称は何か。</t>
        </is>
      </c>
      <c r="D87" s="12" t="inlineStr">
        <is>
          <t>B</t>
        </is>
      </c>
      <c r="E87" s="12" t="inlineStr">
        <is>
          <t>特定技能制度</t>
        </is>
      </c>
      <c r="F87" s="12" t="inlineStr">
        <is>
          <t>育成就労制度</t>
        </is>
      </c>
      <c r="G87" s="12" t="inlineStr">
        <is>
          <t>高度人材制度</t>
        </is>
      </c>
      <c r="H87" s="12" t="inlineStr">
        <is>
          <t>研修生制度</t>
        </is>
      </c>
      <c r="I87" s="12" t="inlineStr">
        <is>
          <t>育成就労制度は2024年の入管法改正で創設が決まった新制度です。技能実習制度の問題点（転職制限、人権侵害など）を改善し、3年間で特定技能1号の水準に育成することを目的としています。本人の意向による転籍（転職）も一定条件で認められます。</t>
        </is>
      </c>
      <c r="J87" s="12" t="inlineStr">
        <is>
          <t>A：特定技能制度は2019年に創設された在留資格制度で、育成就労制度とは別の制度です（育成就労からの移行先として位置づけられています）。C：高度人材制度はポイント制による高度外国人材の受入れ制度です。D：研修生制度は技能実習制度の前身にあたる制度です。</t>
        </is>
      </c>
      <c r="K87" s="12" t="inlineStr">
        <is>
          <t>教程6</t>
        </is>
      </c>
    </row>
    <row r="88" ht="50.1" customHeight="1">
      <c r="A88" s="12" t="n">
        <v>87</v>
      </c>
      <c r="B88" s="12" t="inlineStr">
        <is>
          <t>★★</t>
        </is>
      </c>
      <c r="C88" s="12" t="inlineStr">
        <is>
          <t>EPAによる看護師・介護福祉士候補者の受入れが最初に開始された国はどこか。</t>
        </is>
      </c>
      <c r="D88" s="12" t="inlineStr">
        <is>
          <t>C</t>
        </is>
      </c>
      <c r="E88" s="12" t="inlineStr">
        <is>
          <t>フィリピン</t>
        </is>
      </c>
      <c r="F88" s="12" t="inlineStr">
        <is>
          <t>ベトナム</t>
        </is>
      </c>
      <c r="G88" s="12" t="inlineStr">
        <is>
          <t>インドネシア</t>
        </is>
      </c>
      <c r="H88" s="12" t="inlineStr">
        <is>
          <t>タイ</t>
        </is>
      </c>
      <c r="I88" s="12" t="inlineStr">
        <is>
          <t>EPA枠での看護師・介護福祉士候補者の受入れは、2008年にインドネシアから開始されました。候補者は来日後に日本語研修を受け、病院や介護施設で就労しながら国家試験の合格を目指します。</t>
        </is>
      </c>
      <c r="J88" s="12" t="inlineStr">
        <is>
          <t>A：フィリピンからの受入れ開始は2009年で、インドネシアの翌年です。B：ベトナムからの受入れ開始は2014年で、3番目です。D：タイとの間ではEPAに基づく看護師・介護福祉士候補者の受入れは行われていません。</t>
        </is>
      </c>
      <c r="K88" s="12" t="inlineStr">
        <is>
          <t>教程6</t>
        </is>
      </c>
    </row>
    <row r="89" ht="50.1" customHeight="1">
      <c r="A89" s="12" t="n">
        <v>88</v>
      </c>
      <c r="B89" s="12" t="inlineStr">
        <is>
          <t>★★</t>
        </is>
      </c>
      <c r="C89" s="12" t="inlineStr">
        <is>
          <t>留学生10万人計画が提示されたのは何年か。</t>
        </is>
      </c>
      <c r="D89" s="12" t="inlineStr">
        <is>
          <t>B</t>
        </is>
      </c>
      <c r="E89" s="12" t="inlineStr">
        <is>
          <t>1975年</t>
        </is>
      </c>
      <c r="F89" s="12" t="inlineStr">
        <is>
          <t>1983年</t>
        </is>
      </c>
      <c r="G89" s="12" t="inlineStr">
        <is>
          <t>1993年</t>
        </is>
      </c>
      <c r="H89" s="12" t="inlineStr">
        <is>
          <t>2003年</t>
        </is>
      </c>
      <c r="I89" s="12" t="inlineStr">
        <is>
          <t>留学生10万人計画は1983年に策定され、当時約1万人だった留学生を10万人に増やすことを目標としました。2003年に目標が達成された後、2008年には「留学生30万人計画」が新たに策定されました。</t>
        </is>
      </c>
      <c r="J89" s="12" t="inlineStr">
        <is>
          <t>A：1975年はベトナム戦争終結の年で、留学生計画とは関係ありません。C：1993年は技能実習制度が発足した年です。D：2003年は留学生10万人計画の目標が達成された年であり、計画が提示された年ではありません。</t>
        </is>
      </c>
      <c r="K89" s="12" t="inlineStr">
        <is>
          <t>教程6</t>
        </is>
      </c>
    </row>
    <row r="90" ht="50.1" customHeight="1">
      <c r="A90" s="12" t="n">
        <v>89</v>
      </c>
      <c r="B90" s="12" t="inlineStr">
        <is>
          <t>★</t>
        </is>
      </c>
      <c r="C90" s="12" t="inlineStr">
        <is>
          <t>外国人散在地域の特徴として正しいものはどれか。</t>
        </is>
      </c>
      <c r="D90" s="12" t="inlineStr">
        <is>
          <t>C</t>
        </is>
      </c>
      <c r="E90" s="12" t="inlineStr">
        <is>
          <t>外国人が多く集住</t>
        </is>
      </c>
      <c r="F90" s="12" t="inlineStr">
        <is>
          <t>言語サービスが充実</t>
        </is>
      </c>
      <c r="G90" s="12" t="inlineStr">
        <is>
          <t>外国人が少なくサポートが受けにくい</t>
        </is>
      </c>
      <c r="H90" s="12" t="inlineStr">
        <is>
          <t>日本語教室が多数</t>
        </is>
      </c>
      <c r="I90" s="12" t="inlineStr">
        <is>
          <t>散在地域は外国人住民の数が少ないため、自治体が日本語教室を開設したり多言語サービスを提供したりすることが難しく、外国人住民が孤立しやすい傾向があります。ボランティアの確保も困難な場合が多いです。</t>
        </is>
      </c>
      <c r="J90" s="12" t="inlineStr">
        <is>
          <t>A：「外国人が多く集住」しているのは集住地域の特徴であり、散在地域とは逆です。B：「言語サービスが充実」しているのも集住地域の方が当てはまります。D：「日本語教室が多数」あるのも集住地域の特徴で、散在地域では教室自体が少ないのが課題です。</t>
        </is>
      </c>
      <c r="K90" s="12" t="inlineStr">
        <is>
          <t>教程6</t>
        </is>
      </c>
    </row>
    <row r="91" ht="50.1" customHeight="1">
      <c r="A91" s="12" t="n">
        <v>90</v>
      </c>
      <c r="B91" s="12" t="inlineStr">
        <is>
          <t>★★</t>
        </is>
      </c>
      <c r="C91" s="12" t="inlineStr">
        <is>
          <t>言語計画の3段階の正しい順序はどれか。</t>
        </is>
      </c>
      <c r="D91" s="12" t="inlineStr">
        <is>
          <t>B</t>
        </is>
      </c>
      <c r="E91" s="12" t="inlineStr">
        <is>
          <t>普及→席次→実体</t>
        </is>
      </c>
      <c r="F91" s="12" t="inlineStr">
        <is>
          <t>席次→実体→普及</t>
        </is>
      </c>
      <c r="G91" s="12" t="inlineStr">
        <is>
          <t>実体→席次→普及</t>
        </is>
      </c>
      <c r="H91" s="12" t="inlineStr">
        <is>
          <t>席次→普及→実体</t>
        </is>
      </c>
      <c r="I91" s="12" t="inlineStr">
        <is>
          <t>言語計画は①席次計画（どの言語を公用語にするかなど地位を決める）→②実体計画（正書法・標準語の制定・語彙の整備など言語本体を整える）→③普及計画（教育課程への組み込みなど使用者を増やす）の3段階で進められます。</t>
        </is>
      </c>
      <c r="J91" s="12" t="inlineStr">
        <is>
          <t>A：「普及→席次→実体」は順序が誤りです。普及は最後の段階です。C：「実体→席次→普及」も順序が誤りで、席次計画が最初に来ます。D：「席次→普及→実体」は実体と普及の順序が逆です。まず地位を決め、言語を整備し、それから普及させるという順序が正しいです。</t>
        </is>
      </c>
      <c r="K91" s="12" t="inlineStr">
        <is>
          <t>教程7</t>
        </is>
      </c>
    </row>
    <row r="92" ht="50.1" customHeight="1">
      <c r="A92" s="12" t="n">
        <v>91</v>
      </c>
      <c r="B92" s="12" t="inlineStr">
        <is>
          <t>★</t>
        </is>
      </c>
      <c r="C92" s="12" t="inlineStr">
        <is>
          <t>カナダの公用語は何と何か。</t>
        </is>
      </c>
      <c r="D92" s="12" t="inlineStr">
        <is>
          <t>B</t>
        </is>
      </c>
      <c r="E92" s="12" t="inlineStr">
        <is>
          <t>英語とスペイン語</t>
        </is>
      </c>
      <c r="F92" s="12" t="inlineStr">
        <is>
          <t>英語とフランス語</t>
        </is>
      </c>
      <c r="G92" s="12" t="inlineStr">
        <is>
          <t>英語のみ</t>
        </is>
      </c>
      <c r="H92" s="12" t="inlineStr">
        <is>
          <t>フランス語のみ</t>
        </is>
      </c>
      <c r="I92" s="12" t="inlineStr">
        <is>
          <t>カナダは1969年の公用語法（Official Languages Act）により英語とフランス語を公用語としています。歴史的にイギリスとフランスの植民地であったことに由来し、ケベック州を中心にフランス語話者が多く存在します。</t>
        </is>
      </c>
      <c r="J92" s="12" t="inlineStr">
        <is>
          <t>A：英語とスペイン語が公用語なのはアメリカの一部の州や中南米の国々です（ただしアメリカには連邦レベルの公用語はありません）。C：英語のみではなく、フランス語も公用語です。D：フランス語のみでもありません。</t>
        </is>
      </c>
      <c r="K92" s="12" t="inlineStr">
        <is>
          <t>教程7</t>
        </is>
      </c>
    </row>
    <row r="93" ht="50.1" customHeight="1">
      <c r="A93" s="12" t="n">
        <v>92</v>
      </c>
      <c r="B93" s="12" t="inlineStr">
        <is>
          <t>★</t>
        </is>
      </c>
      <c r="C93" s="12" t="inlineStr">
        <is>
          <t>オーストラリアが1970年代まで取っていた政策は何か。</t>
        </is>
      </c>
      <c r="D93" s="12" t="inlineStr">
        <is>
          <t>B</t>
        </is>
      </c>
      <c r="E93" s="12" t="inlineStr">
        <is>
          <t>多文化主義</t>
        </is>
      </c>
      <c r="F93" s="12" t="inlineStr">
        <is>
          <t>白豪主義</t>
        </is>
      </c>
      <c r="G93" s="12" t="inlineStr">
        <is>
          <t>複言語主義</t>
        </is>
      </c>
      <c r="H93" s="12" t="inlineStr">
        <is>
          <t>同化主義</t>
        </is>
      </c>
      <c r="I93" s="12" t="inlineStr">
        <is>
          <t>白豪主義は1901年の移民制限法に始まるオーストラリアの排外的な移民政策で、非白人（特にアジア系）の移民を事実上禁止していました。1970年代にウィットラム政権下で撤廃され、以後は多文化主義（multiculturalism）が国策として採用されています。</t>
        </is>
      </c>
      <c r="J93" s="12" t="inlineStr">
        <is>
          <t>A：多文化主義は白豪主義撤廃後の1970年代以降に採用された政策です。C：複言語主義は主にEU/CEFRの文脈で使われる個人レベルの多言語使用の考え方です。D：同化主義は少数民族を主流文化に同化させる政策で、白豪主義の別名ではありません。</t>
        </is>
      </c>
      <c r="K93" s="12" t="inlineStr">
        <is>
          <t>教程7</t>
        </is>
      </c>
    </row>
    <row r="94" ht="50.1" customHeight="1">
      <c r="A94" s="12" t="n">
        <v>93</v>
      </c>
      <c r="B94" s="12" t="inlineStr">
        <is>
          <t>★★</t>
        </is>
      </c>
      <c r="C94" s="12" t="inlineStr">
        <is>
          <t>フランスで1994年に成立したフランス語使用義務化の法律は何か。</t>
        </is>
      </c>
      <c r="D94" s="12" t="inlineStr">
        <is>
          <t>B</t>
        </is>
      </c>
      <c r="E94" s="12" t="inlineStr">
        <is>
          <t>言語保護法</t>
        </is>
      </c>
      <c r="F94" s="12" t="inlineStr">
        <is>
          <t>トゥーボン法</t>
        </is>
      </c>
      <c r="G94" s="12" t="inlineStr">
        <is>
          <t>国語基本法</t>
        </is>
      </c>
      <c r="H94" s="12" t="inlineStr">
        <is>
          <t>公用語法</t>
        </is>
      </c>
      <c r="I94" s="12" t="inlineStr">
        <is>
          <t>トゥーボン法（Loi Toubon）は1994年に成立したフランス語保護のための法律です。英語など外国語の影響からフランス語を守ることを目的とし、公共の場での表示や広告、労働契約書などでフランス語の使用を義務づけています。</t>
        </is>
      </c>
      <c r="J94" s="12" t="inlineStr">
        <is>
          <t>A：「言語保護法」という名称の法律はフランスにはありません。C：「国語基本法」は2005年に韓国で制定された法律で、公文書でのハングル使用を原則とする法律です。D：「公用語法」はカナダの1969年の法律（Official Languages Act）で、英語とフランス語を公用語とするものです。</t>
        </is>
      </c>
      <c r="K94" s="12" t="inlineStr">
        <is>
          <t>教程7</t>
        </is>
      </c>
    </row>
    <row r="95" ht="50.1" customHeight="1">
      <c r="A95" s="12" t="n">
        <v>94</v>
      </c>
      <c r="B95" s="12" t="inlineStr">
        <is>
          <t>★</t>
        </is>
      </c>
      <c r="C95" s="12" t="inlineStr">
        <is>
          <t>シンガポールの公用語に含まれないものはどれか。</t>
        </is>
      </c>
      <c r="D95" s="12" t="inlineStr">
        <is>
          <t>C</t>
        </is>
      </c>
      <c r="E95" s="12" t="inlineStr">
        <is>
          <t>英語</t>
        </is>
      </c>
      <c r="F95" s="12" t="inlineStr">
        <is>
          <t>マレー語</t>
        </is>
      </c>
      <c r="G95" s="12" t="inlineStr">
        <is>
          <t>日本語</t>
        </is>
      </c>
      <c r="H95" s="12" t="inlineStr">
        <is>
          <t>タミル語</t>
        </is>
      </c>
      <c r="I95" s="12" t="inlineStr">
        <is>
          <t>シンガポールは多民族国家で、中国系・マレー系・インド系・その他の民族で構成されています。4つの公用語は各民族の言語を反映しており、英語が共通語として使われています。日本語は公用語ではありません。</t>
        </is>
      </c>
      <c r="J95" s="12" t="inlineStr">
        <is>
          <t>A：英語はシンガポールの4公用語の一つで、教育・行政の主要言語です。B：マレー語も4公用語の一つで、国歌はマレー語で歌われます。D：タミル語も4公用語の一つで、インド系住民の言語として認められています。</t>
        </is>
      </c>
      <c r="K95" s="12" t="inlineStr">
        <is>
          <t>教程7</t>
        </is>
      </c>
    </row>
    <row r="96" ht="50.1" customHeight="1">
      <c r="A96" s="12" t="n">
        <v>95</v>
      </c>
      <c r="B96" s="12" t="inlineStr">
        <is>
          <t>★★</t>
        </is>
      </c>
      <c r="C96" s="12" t="inlineStr">
        <is>
          <t>ブルックスの「見える文化」の別名はどれか。</t>
        </is>
      </c>
      <c r="D96" s="12" t="inlineStr">
        <is>
          <t>B</t>
        </is>
      </c>
      <c r="E96" s="12" t="inlineStr">
        <is>
          <t>スモールシーc文化</t>
        </is>
      </c>
      <c r="F96" s="12" t="inlineStr">
        <is>
          <t>ラージシーC文化</t>
        </is>
      </c>
      <c r="G96" s="12" t="inlineStr">
        <is>
          <t>サブカルチャー</t>
        </is>
      </c>
      <c r="H96" s="12" t="inlineStr">
        <is>
          <t>トータルカルチャー</t>
        </is>
      </c>
      <c r="I96" s="12" t="inlineStr">
        <is>
          <t>ブルックスが分類した「見える文化」の別名は「ラージシーC文化（大文字のC文化）」です。文学、音楽、美術、建築、歴史的事件など、目に見える形で存在し、教科書で教えやすい文化的要素を指します。一方、「見えない文化（スモールシーc文化）」は、日常の習慣、価値観、考え方など目に見えにくい文化的要素です。</t>
        </is>
      </c>
      <c r="J96" s="12" t="inlineStr">
        <is>
          <t>A：スモールシーc文化（小文字のc文化）は「見えない文化」の別名であり、「見える文化」ではありません。C：サブカルチャーは特定の集団に固有の文化で、ブルックスの分類とは異なる概念です。D：トータルカルチャーは社会全体に共通する文化で、ブルックスの二分法とは別の概念です。</t>
        </is>
      </c>
      <c r="K96" s="12" t="inlineStr">
        <is>
          <t>教程7</t>
        </is>
      </c>
    </row>
    <row r="97" ht="50.1" customHeight="1">
      <c r="A97" s="12" t="n">
        <v>96</v>
      </c>
      <c r="B97" s="12" t="inlineStr">
        <is>
          <t>★★</t>
        </is>
      </c>
      <c r="C97" s="12" t="inlineStr">
        <is>
          <t>文化変容モデルを提唱した学者は誰か。</t>
        </is>
      </c>
      <c r="D97" s="12" t="inlineStr">
        <is>
          <t>B</t>
        </is>
      </c>
      <c r="E97" s="12" t="inlineStr">
        <is>
          <t>ジャイルズ</t>
        </is>
      </c>
      <c r="F97" s="12" t="inlineStr">
        <is>
          <t>シューマン</t>
        </is>
      </c>
      <c r="G97" s="12" t="inlineStr">
        <is>
          <t>カーター</t>
        </is>
      </c>
      <c r="H97" s="12" t="inlineStr">
        <is>
          <t>ブルックス</t>
        </is>
      </c>
      <c r="I97" s="12" t="inlineStr">
        <is>
          <t>シューマンは1978年に文化変容モデルを提唱し、第二言語習得が文化変容（acculturation）の一側面であると主張しました。目標言語集団との社会的距離（社会的要因）と心理的距離（心理的要因）が近いほど、第二言語の習得が促進されるとしました。</t>
        </is>
      </c>
      <c r="J97" s="12" t="inlineStr">
        <is>
          <t>A：ジャイルズ（Howard Giles）はアコモデーション理論（言語適応理論）を提唱した学者です。C：カーターは「文化の島」の概念を提唱した人物です。D：ブルックスは文化の分類（大文字C/小文字c）を提唱した人物です。</t>
        </is>
      </c>
      <c r="K97" s="12" t="inlineStr">
        <is>
          <t>教程7</t>
        </is>
      </c>
    </row>
    <row r="98" ht="50.1" customHeight="1">
      <c r="A98" s="12" t="n">
        <v>97</v>
      </c>
      <c r="B98" s="12" t="inlineStr">
        <is>
          <t>★★</t>
        </is>
      </c>
      <c r="C98" s="12" t="inlineStr">
        <is>
          <t>アコモデーション理論を提唱した学者は誰か。</t>
        </is>
      </c>
      <c r="D98" s="12" t="inlineStr">
        <is>
          <t>C</t>
        </is>
      </c>
      <c r="E98" s="12" t="inlineStr">
        <is>
          <t>シューマン</t>
        </is>
      </c>
      <c r="F98" s="12" t="inlineStr">
        <is>
          <t>ブルックス</t>
        </is>
      </c>
      <c r="G98" s="12" t="inlineStr">
        <is>
          <t>ジャイルズ</t>
        </is>
      </c>
      <c r="H98" s="12" t="inlineStr">
        <is>
          <t>カーター</t>
        </is>
      </c>
      <c r="I98" s="12" t="inlineStr">
        <is>
          <t>ジャイルズのアコモデーション理論は、人は好意的な相手には言語行動を近づけ（収束: convergence）、距離を置きたい相手には言語行動を遠ざける（拡散: divergence）と主張します。社会心理学的なアプローチで言語使用を説明する理論です。</t>
        </is>
      </c>
      <c r="J98" s="12" t="inlineStr">
        <is>
          <t>A：シューマンは文化変容モデル（第二言語習得と文化変容の関係）を提唱した学者です。B：ブルックスは文化の大文字C/小文字cの分類を提唱しました。D：カーターは「文化の島」の概念を提唱した人物です。</t>
        </is>
      </c>
      <c r="K98" s="12" t="inlineStr">
        <is>
          <t>教程7</t>
        </is>
      </c>
    </row>
    <row r="99" ht="50.1" customHeight="1">
      <c r="A99" s="12" t="n">
        <v>98</v>
      </c>
      <c r="B99" s="12" t="inlineStr">
        <is>
          <t>★</t>
        </is>
      </c>
      <c r="C99" s="12" t="inlineStr">
        <is>
          <t>異文化適応過程のモデルとして知られる曲線は何か。</t>
        </is>
      </c>
      <c r="D99" s="12" t="inlineStr">
        <is>
          <t>B</t>
        </is>
      </c>
      <c r="E99" s="12" t="inlineStr">
        <is>
          <t>S字カーブ</t>
        </is>
      </c>
      <c r="F99" s="12" t="inlineStr">
        <is>
          <t>Uカーブ</t>
        </is>
      </c>
      <c r="G99" s="12" t="inlineStr">
        <is>
          <t>J字カーブ</t>
        </is>
      </c>
      <c r="H99" s="12" t="inlineStr">
        <is>
          <t>V字カーブ</t>
        </is>
      </c>
      <c r="I99" s="12" t="inlineStr">
        <is>
          <t>Uカーブモデルはリスガード（Lysgaard, 1955年）が提唱した異文化適応の過程モデルです。新しい文化に入った当初の高揚期（ハニムーン期）から、文化的摩擦によるショック期を経て、徐々に適応していく様子がU字型の曲線で表されます。</t>
        </is>
      </c>
      <c r="J99" s="12" t="inlineStr">
        <is>
          <t>A：S字カーブは主に成長曲線やイノベーション普及の文脈で使われるもので、異文化適応のモデルではありません。C：J字カーブは主に経済学（為替変動後の貿易収支変化）で使われます。D：V字カーブは景気回復のパターンとして使われますが、異文化適応のモデルではありません。</t>
        </is>
      </c>
      <c r="K99" s="12" t="inlineStr">
        <is>
          <t>教程7</t>
        </is>
      </c>
    </row>
    <row r="100" ht="50.1" customHeight="1">
      <c r="A100" s="12" t="n">
        <v>99</v>
      </c>
      <c r="B100" s="12" t="inlineStr">
        <is>
          <t>★★★</t>
        </is>
      </c>
      <c r="C100" s="12" t="inlineStr">
        <is>
          <t>「判断留保」を意味する異文化適応の用語はどれか。</t>
        </is>
      </c>
      <c r="D100" s="12" t="inlineStr">
        <is>
          <t>B</t>
        </is>
      </c>
      <c r="E100" s="12" t="inlineStr">
        <is>
          <t>エンパシー</t>
        </is>
      </c>
      <c r="F100" s="12" t="inlineStr">
        <is>
          <t>エポケー</t>
        </is>
      </c>
      <c r="G100" s="12" t="inlineStr">
        <is>
          <t>アサーション</t>
        </is>
      </c>
      <c r="H100" s="12" t="inlineStr">
        <is>
          <t>自己開示</t>
        </is>
      </c>
      <c r="I100" s="12" t="inlineStr">
        <is>
          <t>エポケー（epoché）はギリシャ語で「判断停止」を意味し、現象学の用語です。異文化コミュニケーションにおいては、異文化の習慣や価値観に出会った時、自文化の基準で良い・悪いと即断せず、まず観察し理解しようとする態度を指します。</t>
        </is>
      </c>
      <c r="J100" s="12" t="inlineStr">
        <is>
          <t>A：エンパシー（empathy）は「共感」を意味し、相手の立場に立って感情を理解する能力です。C：アサーション（assertion）は「自己主張」を意味し、自分の考えや気持ちを適切に表現するコミュニケーション技法です。D：自己開示は自分に関する情報を相手に伝えることです。</t>
        </is>
      </c>
      <c r="K100" s="12" t="inlineStr">
        <is>
          <t>教程7</t>
        </is>
      </c>
    </row>
    <row r="101" ht="50.1" customHeight="1">
      <c r="A101" s="12" t="n">
        <v>100</v>
      </c>
      <c r="B101" s="12" t="inlineStr">
        <is>
          <t>★★</t>
        </is>
      </c>
      <c r="C101" s="12" t="inlineStr">
        <is>
          <t>他文化と自文化の違いへの気づきを何と言うか。</t>
        </is>
      </c>
      <c r="D101" s="12" t="inlineStr">
        <is>
          <t>B</t>
        </is>
      </c>
      <c r="E101" s="12" t="inlineStr">
        <is>
          <t>異文化間トレランス</t>
        </is>
      </c>
      <c r="F101" s="12" t="inlineStr">
        <is>
          <t>カルチュラル・アウェアネス</t>
        </is>
      </c>
      <c r="G101" s="12" t="inlineStr">
        <is>
          <t>ステレオタイプ</t>
        </is>
      </c>
      <c r="H101" s="12" t="inlineStr">
        <is>
          <t>エンパワーメント</t>
        </is>
      </c>
      <c r="I101" s="12" t="inlineStr">
        <is>
          <t>カルチュラル・アウェアネス（cultural awareness）は、自文化と他文化の違いを認識し、自分自身が文化的存在であることを自覚する態度です。異文化間能力の基盤となる要素で、ステレオタイプや偏見を自覚することも含まれます。</t>
        </is>
      </c>
      <c r="J101" s="12" t="inlineStr">
        <is>
          <t>A：異文化間トレランスは他者を受容し、文化的葛藤に耐えながら相互作用を続ける態度・能力です。C：ステレオタイプは特定集団への画一的な固定観念であり、「気づき」とは逆に偏見の一形態です。D：エンパワーメントは人が本来持つ力を活性化させることで、文化的気づきとは異なる概念です。</t>
        </is>
      </c>
      <c r="K101" s="12" t="inlineStr">
        <is>
          <t>教程7</t>
        </is>
      </c>
    </row>
    <row r="102" ht="50.1" customHeight="1">
      <c r="A102" s="12" t="n">
        <v>101</v>
      </c>
      <c r="B102" s="12" t="inlineStr">
        <is>
          <t>★</t>
        </is>
      </c>
      <c r="C102" s="12" t="inlineStr">
        <is>
          <t>特定の集団に対する画一的な固定観念を何と言うか。</t>
        </is>
      </c>
      <c r="D102" s="12" t="inlineStr">
        <is>
          <t>B</t>
        </is>
      </c>
      <c r="E102" s="12" t="inlineStr">
        <is>
          <t>プレジュディス</t>
        </is>
      </c>
      <c r="F102" s="12" t="inlineStr">
        <is>
          <t>ステレオタイプ</t>
        </is>
      </c>
      <c r="G102" s="12" t="inlineStr">
        <is>
          <t>エスノセントリズム</t>
        </is>
      </c>
      <c r="H102" s="12" t="inlineStr">
        <is>
          <t>カルチュラル・アウェアネス</t>
        </is>
      </c>
      <c r="I102" s="12" t="inlineStr">
        <is>
          <t>ステレオタイプ（stereotype）は、ある集団の成員に対して画一的に適用される固定的なイメージや信念です。ウォルター・リップマンが1922年に概念化しました。必ずしも否定的とは限りませんが、個人を正確に理解する妨げとなり、差別や偏見につながる危険性があります。</t>
        </is>
      </c>
      <c r="J102" s="12" t="inlineStr">
        <is>
          <t>A：プレジュディス（prejudice）は「偏見」を意味し、特定の集団やその成員に対する根拠のない否定的態度です。ステレオタイプが認知的側面なのに対し、偏見は感情的・態度的側面が強い概念です。C：エスノセントリズム（ethnocentrism）は「自民族中心主義」で、自分の文化を基準に他文化を否定的に判断する態度です。D：カルチュラル・アウェアネスは文化的な違いへの「気づき」で、固定観念とは逆の概念です。</t>
        </is>
      </c>
      <c r="K102" s="12" t="inlineStr">
        <is>
          <t>教程7</t>
        </is>
      </c>
    </row>
    <row r="103" ht="50.1" customHeight="1">
      <c r="A103" s="12" t="n">
        <v>102</v>
      </c>
      <c r="B103" s="12" t="inlineStr">
        <is>
          <t>★</t>
        </is>
      </c>
      <c r="C103" s="12" t="inlineStr">
        <is>
          <t>公共空間における看板・標識等の表示を研究する分野を何と言うか。</t>
        </is>
      </c>
      <c r="D103" s="12" t="inlineStr">
        <is>
          <t>B</t>
        </is>
      </c>
      <c r="E103" s="12" t="inlineStr">
        <is>
          <t>社会言語学</t>
        </is>
      </c>
      <c r="F103" s="12" t="inlineStr">
        <is>
          <t>言語景観</t>
        </is>
      </c>
      <c r="G103" s="12" t="inlineStr">
        <is>
          <t>語用論</t>
        </is>
      </c>
      <c r="H103" s="12" t="inlineStr">
        <is>
          <t>意味論</t>
        </is>
      </c>
      <c r="I103" s="12" t="inlineStr">
        <is>
          <t>言語景観は、ランドリー＆ブーリス（Landry &amp; Bourhis, 1997年）が提唱した概念で、公共空間に掲示される言語の分布・使用状況を分析する研究分野です。駅の案内表示、店舗の看板、道路標識などの多言語表示から、社会の言語状況や言語政策を読み取ることができます。</t>
        </is>
      </c>
      <c r="J103" s="12" t="inlineStr">
        <is>
          <t>A：社会言語学は言語と社会の関係を広く扱う学問分野で、言語景観はその中の一分野です。C：語用論は文脈における言語使用や言外の意味を扱う分野で、公共表示の研究ではありません。D：意味論は語や文の文字通りの意味を扱う分野です。</t>
        </is>
      </c>
      <c r="K103" s="12" t="inlineStr">
        <is>
          <t>教程7</t>
        </is>
      </c>
    </row>
    <row r="104" ht="50.1" customHeight="1">
      <c r="A104" s="12" t="n">
        <v>103</v>
      </c>
      <c r="B104" s="12" t="inlineStr">
        <is>
          <t>★★</t>
        </is>
      </c>
      <c r="C104" s="12" t="inlineStr">
        <is>
          <t>韓国の2005年制定の公文書ハングル使用原則の法律は何か。</t>
        </is>
      </c>
      <c r="D104" s="12" t="inlineStr">
        <is>
          <t>B</t>
        </is>
      </c>
      <c r="E104" s="12" t="inlineStr">
        <is>
          <t>漢字廃止法</t>
        </is>
      </c>
      <c r="F104" s="12" t="inlineStr">
        <is>
          <t>国語基本法</t>
        </is>
      </c>
      <c r="G104" s="12" t="inlineStr">
        <is>
          <t>ハングル促進法</t>
        </is>
      </c>
      <c r="H104" s="12" t="inlineStr">
        <is>
          <t>言語政策法</t>
        </is>
      </c>
      <c r="I104" s="12" t="inlineStr">
        <is>
          <t>国語基本法は2005年に韓国で制定され、公文書・法令・裁判等でのハングル使用を原則としています。漢字混じり文からハングル専用への流れを法的に裏付けるものですが、必要に応じて漢字を併記することは認められています。</t>
        </is>
      </c>
      <c r="J104" s="12" t="inlineStr">
        <is>
          <t>A：「漢字廃止法」という名称の法律は存在しません。C：「ハングル促進法」という法律も存在しません。D：「言語政策法」も韓国の法律名としては正しくありません。</t>
        </is>
      </c>
      <c r="K104" s="12" t="inlineStr">
        <is>
          <t>教程7</t>
        </is>
      </c>
    </row>
    <row r="105" ht="50.1" customHeight="1">
      <c r="A105" s="12" t="n">
        <v>104</v>
      </c>
      <c r="B105" s="12" t="inlineStr">
        <is>
          <t>★★</t>
        </is>
      </c>
      <c r="C105" s="12" t="inlineStr">
        <is>
          <t>アイヌ民族を「先住民族」と明記した2019年の法律の通称は何か。</t>
        </is>
      </c>
      <c r="D105" s="12" t="inlineStr">
        <is>
          <t>B</t>
        </is>
      </c>
      <c r="E105" s="12" t="inlineStr">
        <is>
          <t>アイヌ文化振興法</t>
        </is>
      </c>
      <c r="F105" s="12" t="inlineStr">
        <is>
          <t>アイヌ施策推進法</t>
        </is>
      </c>
      <c r="G105" s="12" t="inlineStr">
        <is>
          <t>先住民族保護法</t>
        </is>
      </c>
      <c r="H105" s="12" t="inlineStr">
        <is>
          <t>多文化共生推進法</t>
        </is>
      </c>
      <c r="I105" s="12" t="inlineStr">
        <is>
          <t>アイヌ施策推進法（正式名称：アイヌの人々の誇りが尊重される社会を実現するための施策の推進に関する法律）は2019年に施行されました。1997年の「アイヌ文化振興法」に代わる法律で、アイヌを「先住民族」と明記した点が画期的です。</t>
        </is>
      </c>
      <c r="J105" s="12" t="inlineStr">
        <is>
          <t>A：アイヌ文化振興法は1997年に制定された法律で、「先住民族」とは明記していませんでした。2019年のアイヌ施策推進法の施行により廃止されました。C：「先住民族保護法」という名称の法律は日本には存在しません。D：「多文化共生推進法」も現時点で日本には存在しません。</t>
        </is>
      </c>
      <c r="K105" s="12" t="inlineStr">
        <is>
          <t>教程7</t>
        </is>
      </c>
    </row>
    <row r="106" ht="50.1" customHeight="1">
      <c r="A106" s="12" t="n">
        <v>105</v>
      </c>
      <c r="B106" s="12" t="inlineStr">
        <is>
          <t>★★★</t>
        </is>
      </c>
      <c r="C106" s="12" t="inlineStr">
        <is>
          <t>ドイツの新移民法（2005年）で設けられたドイツ語学習コースを何と言うか。</t>
        </is>
      </c>
      <c r="D106" s="12" t="inlineStr">
        <is>
          <t>B</t>
        </is>
      </c>
      <c r="E106" s="12" t="inlineStr">
        <is>
          <t>統合コース</t>
        </is>
      </c>
      <c r="F106" s="12" t="inlineStr">
        <is>
          <t>社会統合コース</t>
        </is>
      </c>
      <c r="G106" s="12" t="inlineStr">
        <is>
          <t>移民適応コース</t>
        </is>
      </c>
      <c r="H106" s="12" t="inlineStr">
        <is>
          <t>言語習得コース</t>
        </is>
      </c>
      <c r="I106" s="12" t="inlineStr">
        <is>
          <t>社会統合コースは2005年のドイツ新移民法により導入されました。ドイツ語コース（600時間）とオリエンテーションコース（ドイツの法律・歴史・文化について、100時間）で構成され、一定の移民に受講が義務づけられています。</t>
        </is>
      </c>
      <c r="J106" s="12" t="inlineStr">
        <is>
          <t>A：「統合コース」は不正確で、正式には「社会統合コース」です。C：「移民適応コース」という名称のコースはありません。D：「言語習得コース」も正式名称ではありません。</t>
        </is>
      </c>
      <c r="K106" s="12" t="inlineStr">
        <is>
          <t>教程7</t>
        </is>
      </c>
    </row>
    <row r="107" ht="50.1" customHeight="1">
      <c r="A107" s="12" t="n">
        <v>106</v>
      </c>
      <c r="B107" s="12" t="inlineStr">
        <is>
          <t>★★★</t>
        </is>
      </c>
      <c r="C107" s="12" t="inlineStr">
        <is>
          <t>民族共生象徴空間「ウポポイ」の一般公開開始年は何年か。</t>
        </is>
      </c>
      <c r="D107" s="12" t="inlineStr">
        <is>
          <t>C</t>
        </is>
      </c>
      <c r="E107" s="12" t="inlineStr">
        <is>
          <t>2017年</t>
        </is>
      </c>
      <c r="F107" s="12" t="inlineStr">
        <is>
          <t>2019年</t>
        </is>
      </c>
      <c r="G107" s="12" t="inlineStr">
        <is>
          <t>2020年</t>
        </is>
      </c>
      <c r="H107" s="12" t="inlineStr">
        <is>
          <t>2022年</t>
        </is>
      </c>
      <c r="I107" s="12" t="inlineStr">
        <is>
          <t>ウポポイ（アイヌ語で「大勢で歌うこと」の意味）は2020年7月12日に開業しました。当初は2020年4月開業予定でしたが、新型コロナウイルスの影響で延期されました。アイヌ施策推進法に基づき設置された国の施設です。</t>
        </is>
      </c>
      <c r="J107" s="12" t="inlineStr">
        <is>
          <t>A：2017年は開業年ではありません。B：2019年はアイヌ施策推進法の施行年ですが、ウポポイの開業は翌年です。D：2022年も開業年ではありません。</t>
        </is>
      </c>
      <c r="K107" s="12" t="inlineStr">
        <is>
          <t>教程7</t>
        </is>
      </c>
    </row>
    <row r="108" ht="50.1" customHeight="1">
      <c r="A108" s="12" t="n">
        <v>107</v>
      </c>
      <c r="B108" s="12" t="inlineStr">
        <is>
          <t>★★</t>
        </is>
      </c>
      <c r="C108" s="12" t="inlineStr">
        <is>
          <t>複言語主義とはどのような考え方か。</t>
        </is>
      </c>
      <c r="D108" s="12" t="inlineStr">
        <is>
          <t>B</t>
        </is>
      </c>
      <c r="E108" s="12" t="inlineStr">
        <is>
          <t>国家が複数の公用語を持つこと</t>
        </is>
      </c>
      <c r="F108" s="12" t="inlineStr">
        <is>
          <t>個人が生活状況に沿って複数言語を使用することを認める考え方</t>
        </is>
      </c>
      <c r="G108" s="12" t="inlineStr">
        <is>
          <t>全国民が英語を学ぶこと</t>
        </is>
      </c>
      <c r="H108" s="12" t="inlineStr">
        <is>
          <t>一言語のみ使用すべきという考え方</t>
        </is>
      </c>
      <c r="I108" s="12" t="inlineStr">
        <is>
          <t>複言語主義は、個人が複数の言語を完璧に使いこなす必要はなく、生活のさまざまな場面で異なる言語を部分的にでも使えればよいという考え方です。CEFRの基本理念であり、JFスタンダードにも反映されています。</t>
        </is>
      </c>
      <c r="J108" s="12" t="inlineStr">
        <is>
          <t>A：「国家が複数の公用語を持つこと」は多言語主義（multilingualism）の説明であり、複言語主義とは異なります。C：「全国民が英語を学ぶこと」は特定の言語政策であり、複言語主義の考え方ではありません。D：「一言語のみ使用すべき」は単一言語主義（monolingualism）であり、複言語主義とは正反対です。</t>
        </is>
      </c>
      <c r="K108" s="12" t="inlineStr">
        <is>
          <t>教程7</t>
        </is>
      </c>
    </row>
    <row r="109" ht="50.1" customHeight="1">
      <c r="A109" s="12" t="n">
        <v>108</v>
      </c>
      <c r="B109" s="12" t="inlineStr">
        <is>
          <t>★★★</t>
        </is>
      </c>
      <c r="C109" s="12" t="inlineStr">
        <is>
          <t>イギリスの1985年の教育報告書の通称は何か。</t>
        </is>
      </c>
      <c r="D109" s="12" t="inlineStr">
        <is>
          <t>B</t>
        </is>
      </c>
      <c r="E109" s="12" t="inlineStr">
        <is>
          <t>バルフォア・レポート</t>
        </is>
      </c>
      <c r="F109" s="12" t="inlineStr">
        <is>
          <t>スワン・レポート</t>
        </is>
      </c>
      <c r="G109" s="12" t="inlineStr">
        <is>
          <t>ウィリアムズ・レポート</t>
        </is>
      </c>
      <c r="H109" s="12" t="inlineStr">
        <is>
          <t>ジョンソン・レポート</t>
        </is>
      </c>
      <c r="I109" s="12" t="inlineStr">
        <is>
          <t>スワン・レポートは1985年にスワン卿（Lord Swann）を委員長とする委員会がまとめた教育報告書です。イギリスの多民族社会における教育の問題を包括的に検討し、すべての子どもが多文化社会で生きるための教育を受けるべきだと提言しました。</t>
        </is>
      </c>
      <c r="J109" s="12" t="inlineStr">
        <is>
          <t>A：バルフォア・レポートはイギリス帝国の自治領に関する1926年の報告書で、教育報告書ではありません。C：ウィリアムズ・レポートはオーストラリアの1979年の言語政策報告書です。D：ジョンソン・レポートという教育報告書はありません。</t>
        </is>
      </c>
      <c r="K109" s="12" t="inlineStr">
        <is>
          <t>教程7</t>
        </is>
      </c>
    </row>
    <row r="110" ht="50.1" customHeight="1">
      <c r="A110" s="12" t="n">
        <v>109</v>
      </c>
      <c r="B110" s="12" t="inlineStr">
        <is>
          <t>★★★</t>
        </is>
      </c>
      <c r="C110" s="12" t="inlineStr">
        <is>
          <t>フランスの2006年移民法で導入された方式は何か。</t>
        </is>
      </c>
      <c r="D110" s="12" t="inlineStr">
        <is>
          <t>B</t>
        </is>
      </c>
      <c r="E110" s="12" t="inlineStr">
        <is>
          <t>トゥーボン法</t>
        </is>
      </c>
      <c r="F110" s="12" t="inlineStr">
        <is>
          <t>選択的移民政策</t>
        </is>
      </c>
      <c r="G110" s="12" t="inlineStr">
        <is>
          <t>国籍法</t>
        </is>
      </c>
      <c r="H110" s="12" t="inlineStr">
        <is>
          <t>外国人管理法</t>
        </is>
      </c>
      <c r="I110" s="12" t="inlineStr">
        <is>
          <t>2006年のフランス移民法（サルコジ法とも呼ばれる）は、フランスが必要とする高度人材を積極的に受け入れる一方、非熟練労働者の流入を制限する「選択的移民政策」を導入しました。フランス語能力やフランスの価値観の尊重を移民に求める内容も含まれています。</t>
        </is>
      </c>
      <c r="J110" s="12" t="inlineStr">
        <is>
          <t>A：トゥーボン法は1994年のフランス語使用義務化の法律で、2006年の移民法とは別の法律です。C：「国籍法」は国籍取得に関する法律の一般名称で、2006年移民法の内容を指すものではありません。D：「外国人管理法」も2006年移民法の正式な名称や内容ではありません。</t>
        </is>
      </c>
      <c r="K110" s="12" t="inlineStr">
        <is>
          <t>教程7</t>
        </is>
      </c>
    </row>
    <row r="111" ht="50.1" customHeight="1">
      <c r="A111" s="12" t="n">
        <v>110</v>
      </c>
      <c r="B111" s="12" t="inlineStr">
        <is>
          <t>★★★</t>
        </is>
      </c>
      <c r="C111" s="12" t="inlineStr">
        <is>
          <t>中国で繁体字から簡体字への文字改革が始まったのは何年か。</t>
        </is>
      </c>
      <c r="D111" s="12" t="inlineStr">
        <is>
          <t>C</t>
        </is>
      </c>
      <c r="E111" s="12" t="inlineStr">
        <is>
          <t>1911年</t>
        </is>
      </c>
      <c r="F111" s="12" t="inlineStr">
        <is>
          <t>1949年</t>
        </is>
      </c>
      <c r="G111" s="12" t="inlineStr">
        <is>
          <t>1951年</t>
        </is>
      </c>
      <c r="H111" s="12" t="inlineStr">
        <is>
          <t>1964年</t>
        </is>
      </c>
      <c r="I111" s="12" t="inlineStr">
        <is>
          <t>1951年に毛沢東の指示のもと、中国で漢字簡略化の取り組みが本格的に始まりました。複雑な繁体字を画数の少ない簡体字に変えることで、一般国民の識字率向上を目指しました。1956年に「漢字簡化方案」、1964年に「簡化字総表」が公布されています。</t>
        </is>
      </c>
      <c r="J111" s="12" t="inlineStr">
        <is>
          <t>A：1911年は辛亥革命の年で、清朝が倒れ中華民国が成立しました。文字改革はこの時期ではありません。B：1949年は中華人民共和国の建国年ですが、文字改革の開始は建国後の1951年です。D：1964年は「簡化字総表」が公布された年で、改革の開始年ではなく整理・完成段階の年です。</t>
        </is>
      </c>
      <c r="K111" s="12" t="inlineStr">
        <is>
          <t>教程7</t>
        </is>
      </c>
    </row>
    <row r="112" ht="50.1" customHeight="1">
      <c r="A112" s="12" t="n">
        <v>111</v>
      </c>
      <c r="B112" s="12" t="inlineStr">
        <is>
          <t>★★★</t>
        </is>
      </c>
      <c r="C112" s="12" t="inlineStr">
        <is>
          <t>アメリカの「21世紀の外国語学習スタンダーズ」の5Cに含まれないものはどれか。</t>
        </is>
      </c>
      <c r="D112" s="12" t="inlineStr">
        <is>
          <t>C</t>
        </is>
      </c>
      <c r="E112" s="12" t="inlineStr">
        <is>
          <t>Communication</t>
        </is>
      </c>
      <c r="F112" s="12" t="inlineStr">
        <is>
          <t>Cultures</t>
        </is>
      </c>
      <c r="G112" s="12" t="inlineStr">
        <is>
          <t>Computation</t>
        </is>
      </c>
      <c r="H112" s="12" t="inlineStr">
        <is>
          <t>Communities</t>
        </is>
      </c>
      <c r="I112" s="12" t="inlineStr">
        <is>
          <t>5Cスタンダーズは1996年にアメリカの外国語教育の全国基準として策定されました。外国語教育を通じて育成すべき5つの目標領域（Communication, Cultures, Connections, Comparisons, Communities）を示しています。Computationは含まれていません。</t>
        </is>
      </c>
      <c r="J112" s="12" t="inlineStr">
        <is>
          <t>A：Communicationは5Cの一つで、外国語での意思疎通能力です。B：Culturesも5Cの一つで、文化の理解と実践です。D：Communitiesも5Cの一つで、学校の内外で多言語コミュニティに参加することを指します。</t>
        </is>
      </c>
      <c r="K112" s="12" t="inlineStr">
        <is>
          <t>教程7</t>
        </is>
      </c>
    </row>
    <row r="113" ht="50.1" customHeight="1">
      <c r="A113" s="12" t="n">
        <v>112</v>
      </c>
      <c r="B113" s="12" t="inlineStr">
        <is>
          <t>★★</t>
        </is>
      </c>
      <c r="C113" s="12" t="inlineStr">
        <is>
          <t>「言外の意味」を扱うのは意味論と語用論のどちらか。</t>
        </is>
      </c>
      <c r="D113" s="12" t="inlineStr">
        <is>
          <t>B</t>
        </is>
      </c>
      <c r="E113" s="12" t="inlineStr">
        <is>
          <t>意味論</t>
        </is>
      </c>
      <c r="F113" s="12" t="inlineStr">
        <is>
          <t>語用論</t>
        </is>
      </c>
      <c r="G113" s="12" t="inlineStr">
        <is>
          <t>形態論</t>
        </is>
      </c>
      <c r="H113" s="12" t="inlineStr">
        <is>
          <t>統語論</t>
        </is>
      </c>
      <c r="I113" s="12" t="inlineStr">
        <is>
          <t>語用論（pragmatics）は、発話の字義通りの意味だけでなく、話者の意図や文脈から導かれる「言外の意味」を研究する分野です。例えば「窓を開けてくれませんか」が依頼の意味を持つことは、語用論的な分析によって説明されます。</t>
        </is>
      </c>
      <c r="J113" s="12" t="inlineStr">
        <is>
          <t>A：意味論（semantics）は文字通りの意味（辞書的意味・文の真理条件など）を扱う分野で、言外の意味は扱いません。C：形態論（morphology）は語の構造（接辞・語形変化など）を扱う分野です。D：統語論（syntax）は文の構造（語順・句構造など）を扱う分野です。</t>
        </is>
      </c>
      <c r="K113" s="12" t="inlineStr">
        <is>
          <t>教程7</t>
        </is>
      </c>
    </row>
    <row r="114" ht="50.1" customHeight="1">
      <c r="A114" s="12" t="n">
        <v>113</v>
      </c>
      <c r="B114" s="12" t="inlineStr">
        <is>
          <t>★★</t>
        </is>
      </c>
      <c r="C114" s="12" t="inlineStr">
        <is>
          <t>異文化間トレランスとはどのような態度か。</t>
        </is>
      </c>
      <c r="D114" s="12" t="inlineStr">
        <is>
          <t>C</t>
        </is>
      </c>
      <c r="E114" s="12" t="inlineStr">
        <is>
          <t>異文化を排除する態度</t>
        </is>
      </c>
      <c r="F114" s="12" t="inlineStr">
        <is>
          <t>ショックを受けない態度</t>
        </is>
      </c>
      <c r="G114" s="12" t="inlineStr">
        <is>
          <t>他者を受容し葛藤に耐え相互作用が生まれる状態</t>
        </is>
      </c>
      <c r="H114" s="12" t="inlineStr">
        <is>
          <t>自文化が優れていると考える態度</t>
        </is>
      </c>
      <c r="I114" s="12" t="inlineStr">
        <is>
          <t>異文化間トレランス（intercultural tolerance）は、異文化間の相互作用で生じる葛藤・あいまいさ・不快感に耐え、対話を続ける態度です。異文化を無条件に受け入れるのではなく、葛藤が生じてもコミュニケーションを断絶させず、相互理解に向けて歩み続ける姿勢を指します。</t>
        </is>
      </c>
      <c r="J114" s="12" t="inlineStr">
        <is>
          <t>A：異文化を排除する態度はエスノセントリズム（自民族中心主義）に近い態度であり、トレランスとは正反対です。B：ショックを受けないことは鈍感さであり、トレランスとは異なります。トレランスは葛藤を感じつつも耐える力です。D：自文化が優れていると考える態度はエスノセントリズムであり、トレランスではありません。</t>
        </is>
      </c>
      <c r="K114" s="12" t="inlineStr">
        <is>
          <t>教程7</t>
        </is>
      </c>
    </row>
    <row r="115" ht="50.1" customHeight="1">
      <c r="A115" s="12" t="n">
        <v>114</v>
      </c>
      <c r="B115" s="12" t="inlineStr">
        <is>
          <t>★★</t>
        </is>
      </c>
      <c r="C115" s="12" t="inlineStr">
        <is>
          <t>「文化の島」の概念を提唱した学者は誰か。</t>
        </is>
      </c>
      <c r="D115" s="12" t="inlineStr">
        <is>
          <t>C</t>
        </is>
      </c>
      <c r="E115" s="12" t="inlineStr">
        <is>
          <t>ブルックス</t>
        </is>
      </c>
      <c r="F115" s="12" t="inlineStr">
        <is>
          <t>シューマン</t>
        </is>
      </c>
      <c r="G115" s="12" t="inlineStr">
        <is>
          <t>カーター</t>
        </is>
      </c>
      <c r="H115" s="12" t="inlineStr">
        <is>
          <t>ジャイルズ</t>
        </is>
      </c>
      <c r="I115" s="12" t="inlineStr">
        <is>
          <t>カーターの「文化の島（cultural island）」は、外国語教室の壁に目標文化の地図・写真・ポスターなどを掲示し、教室空間自体を目標文化の空間として演出するという考え方です。教室に入った瞬間から異文化体験が始まる環境を作ることを目指します。</t>
        </is>
      </c>
      <c r="J115" s="12" t="inlineStr">
        <is>
          <t>A：ブルックスは文化の分類（大文字C文化/小文字c文化、見える文化/見えない文化）を提唱した人物です。B：シューマンは文化変容モデル（第二言語習得と文化変容の関係）を提唱しました。D：ジャイルズはアコモデーション理論（言語行動の調整理論）を提唱しました。</t>
        </is>
      </c>
      <c r="K115" s="12" t="inlineStr">
        <is>
          <t>教程7</t>
        </is>
      </c>
    </row>
    <row r="116" ht="50.1" customHeight="1">
      <c r="A116" s="12" t="n">
        <v>115</v>
      </c>
      <c r="B116" s="12" t="inlineStr">
        <is>
          <t>★</t>
        </is>
      </c>
      <c r="C116" s="12" t="inlineStr">
        <is>
          <t>日本語教育能力検定試験の実施機関はどこか。</t>
        </is>
      </c>
      <c r="D116" s="12" t="inlineStr">
        <is>
          <t>C</t>
        </is>
      </c>
      <c r="E116" s="12" t="inlineStr">
        <is>
          <t>国際交流基金</t>
        </is>
      </c>
      <c r="F116" s="12" t="inlineStr">
        <is>
          <t>日本学生支援機構</t>
        </is>
      </c>
      <c r="G116" s="12" t="inlineStr">
        <is>
          <t>日本国際教育支援協会</t>
        </is>
      </c>
      <c r="H116" s="12" t="inlineStr">
        <is>
          <t>国立国語研究所</t>
        </is>
      </c>
      <c r="I116" s="12" t="inlineStr">
        <is>
          <t>日本語教育能力検定試験はJEES（日本国際教育支援協会、旧・日本国際教育協会）が実施しています。年1回（10月）実施され、試験科目は「日本語教育の実践」「基礎的な知識」「社会・文化に関する知識」などから構成されます。</t>
        </is>
      </c>
      <c r="J116" s="12" t="inlineStr">
        <is>
          <t>A：国際交流基金はJLPTの海外実施やJFT-Basicの運営を行う機関で、検定試験の実施機関ではありません。B：日本学生支援機構（JASSO）はEJU（日本留学試験）の実施機関です。D：国立国語研究所は日本語の研究機関であり、試験実施は行っていません。</t>
        </is>
      </c>
      <c r="K116" s="12" t="inlineStr">
        <is>
          <t>教程3</t>
        </is>
      </c>
    </row>
    <row r="117" ht="50.1" customHeight="1">
      <c r="A117" s="12" t="n">
        <v>116</v>
      </c>
      <c r="B117" s="12" t="inlineStr">
        <is>
          <t>★★</t>
        </is>
      </c>
      <c r="C117" s="12" t="inlineStr">
        <is>
          <t>日本語教育能力検定試験の実施が開始されたのは何年か。</t>
        </is>
      </c>
      <c r="D117" s="12" t="inlineStr">
        <is>
          <t>B</t>
        </is>
      </c>
      <c r="E117" s="12" t="inlineStr">
        <is>
          <t>1984年</t>
        </is>
      </c>
      <c r="F117" s="12" t="inlineStr">
        <is>
          <t>1988年</t>
        </is>
      </c>
      <c r="G117" s="12" t="inlineStr">
        <is>
          <t>1993年</t>
        </is>
      </c>
      <c r="H117" s="12" t="inlineStr">
        <is>
          <t>2004年</t>
        </is>
      </c>
      <c r="I117" s="12" t="inlineStr">
        <is>
          <t>日本語教育能力検定試験は1988年に第1回が実施されました。留学生急増に対応するための日本語教師の質保証の仕組みとして始まりました。なお、2024年度からは国家資格「登録日本語教員」の制度が始まり、検定試験との関係が再編されています。</t>
        </is>
      </c>
      <c r="J117" s="12" t="inlineStr">
        <is>
          <t>A：1984年はJLPT（日本語能力試験）の開始年であり、検定試験の開始年ではありません。C：1993年は技能実習制度の発足年です。D：2004年はJASSO設立の年です。</t>
        </is>
      </c>
      <c r="K117" s="12" t="inlineStr">
        <is>
          <t>教程3</t>
        </is>
      </c>
    </row>
    <row r="118" ht="50.1" customHeight="1">
      <c r="A118" s="12" t="n">
        <v>117</v>
      </c>
      <c r="B118" s="12" t="inlineStr">
        <is>
          <t>★★</t>
        </is>
      </c>
      <c r="C118" s="12" t="inlineStr">
        <is>
          <t>JLPT実施開始年はいつか。</t>
        </is>
      </c>
      <c r="D118" s="12" t="inlineStr">
        <is>
          <t>A</t>
        </is>
      </c>
      <c r="E118" s="12" t="inlineStr">
        <is>
          <t>1984年</t>
        </is>
      </c>
      <c r="F118" s="12" t="inlineStr">
        <is>
          <t>1988年</t>
        </is>
      </c>
      <c r="G118" s="12" t="inlineStr">
        <is>
          <t>1993年</t>
        </is>
      </c>
      <c r="H118" s="12" t="inlineStr">
        <is>
          <t>2004年</t>
        </is>
      </c>
      <c r="I118" s="12" t="inlineStr">
        <is>
          <t>JLPTは1984年に開始され、日本語を母語としない人の日本語能力を測定する世界最大規模の日本語試験です。当初は国内外15カ国で約7,000人が受験しましたが、現在は世界約90カ国・地域で年間約140万人以上が受験しています。</t>
        </is>
      </c>
      <c r="J118" s="12" t="inlineStr">
        <is>
          <t>B：1988年は日本語教育能力検定試験の開始年であり、JLPTではありません。C：1993年は技能実習制度の発足年です。D：2004年はJASSO設立の年です。</t>
        </is>
      </c>
      <c r="K118" s="12" t="inlineStr">
        <is>
          <t>教程3</t>
        </is>
      </c>
    </row>
    <row r="119" ht="50.1" customHeight="1">
      <c r="A119" s="12" t="n">
        <v>118</v>
      </c>
      <c r="B119" s="12" t="inlineStr">
        <is>
          <t>★★</t>
        </is>
      </c>
      <c r="C119" s="12" t="inlineStr">
        <is>
          <t>留学生30万人計画が発表されたのは何年か。</t>
        </is>
      </c>
      <c r="D119" s="12" t="inlineStr">
        <is>
          <t>C</t>
        </is>
      </c>
      <c r="E119" s="12" t="inlineStr">
        <is>
          <t>1983年</t>
        </is>
      </c>
      <c r="F119" s="12" t="inlineStr">
        <is>
          <t>2003年</t>
        </is>
      </c>
      <c r="G119" s="12" t="inlineStr">
        <is>
          <t>2008年</t>
        </is>
      </c>
      <c r="H119" s="12" t="inlineStr">
        <is>
          <t>2010年</t>
        </is>
      </c>
      <c r="I119" s="12" t="inlineStr">
        <is>
          <t>留学生30万人計画は2008年に策定された留学生受入れ拡大の国家戦略です。1983年の「留学生10万人計画」の後継として、入り口（入試・入学）から出口（就職支援）まで一貫した受入れ体制の整備を目指しました。</t>
        </is>
      </c>
      <c r="J119" s="12" t="inlineStr">
        <is>
          <t>A：1983年は「留学生10万人計画」が策定された年です。B：2003年は留学生10万人計画の目標が達成された年です。D：2010年は入管法改正で「就学」と「留学」の在留資格が統一された年です。</t>
        </is>
      </c>
      <c r="K119" s="12" t="inlineStr">
        <is>
          <t>教程6</t>
        </is>
      </c>
    </row>
    <row r="120" ht="50.1" customHeight="1">
      <c r="A120" s="12" t="n">
        <v>119</v>
      </c>
      <c r="B120" s="12" t="inlineStr">
        <is>
          <t>★★★</t>
        </is>
      </c>
      <c r="C120" s="12" t="inlineStr">
        <is>
          <t>日本語教育振興協会（日振協）が設立されたのは何年か。</t>
        </is>
      </c>
      <c r="D120" s="12" t="inlineStr">
        <is>
          <t>C</t>
        </is>
      </c>
      <c r="E120" s="12" t="inlineStr">
        <is>
          <t>1984年</t>
        </is>
      </c>
      <c r="F120" s="12" t="inlineStr">
        <is>
          <t>1988年</t>
        </is>
      </c>
      <c r="G120" s="12" t="inlineStr">
        <is>
          <t>1989年</t>
        </is>
      </c>
      <c r="H120" s="12" t="inlineStr">
        <is>
          <t>1993年</t>
        </is>
      </c>
      <c r="I120" s="12" t="inlineStr">
        <is>
          <t>日振協は1989年に設立され、日本語学校の設置基準適合の審査・認定を行ってきました。1988年の「上海事件」（中国人就学生が大量に不法残留した事件）をきっかけに、日本語学校の質の管理が急務となり設立されました。</t>
        </is>
      </c>
      <c r="J120" s="12" t="inlineStr">
        <is>
          <t>A：1984年はJLPTの開始年です。B：1988年は上海事件の年であり、日振協設立はその翌年です。D：1993年は技能実習制度の発足年です。</t>
        </is>
      </c>
      <c r="K120" s="12" t="inlineStr">
        <is>
          <t>教程3</t>
        </is>
      </c>
    </row>
    <row r="121" ht="50.1" customHeight="1">
      <c r="A121" s="12" t="n">
        <v>120</v>
      </c>
      <c r="B121" s="12" t="inlineStr">
        <is>
          <t>★★★</t>
        </is>
      </c>
      <c r="C121" s="12" t="inlineStr">
        <is>
          <t>上海事件が起きたのは何年か。</t>
        </is>
      </c>
      <c r="D121" s="12" t="inlineStr">
        <is>
          <t>B</t>
        </is>
      </c>
      <c r="E121" s="12" t="inlineStr">
        <is>
          <t>1984年</t>
        </is>
      </c>
      <c r="F121" s="12" t="inlineStr">
        <is>
          <t>1988年</t>
        </is>
      </c>
      <c r="G121" s="12" t="inlineStr">
        <is>
          <t>1989年</t>
        </is>
      </c>
      <c r="H121" s="12" t="inlineStr">
        <is>
          <t>1990年</t>
        </is>
      </c>
      <c r="I121" s="12" t="inlineStr">
        <is>
          <t>1988年の上海事件では、日本の日本語学校への入学を希望する中国人が上海の日本総領事館に殺到しました。当時、日本語学校を経由した出稼ぎ目的の入国が問題化しており、この事件をきっかけに日本語学校の審査・管理の強化が進められ、翌年の日振協設立につながりました。</t>
        </is>
      </c>
      <c r="J121" s="12" t="inlineStr">
        <is>
          <t>A：1984年はJLPTの開始年です。C：1989年は日振協の設立年であり、上海事件はその前年です。D：1990年は改正入管法の施行年です。</t>
        </is>
      </c>
      <c r="K121" s="12" t="inlineStr">
        <is>
          <t>教程3</t>
        </is>
      </c>
    </row>
    <row r="122" ht="50.1" customHeight="1">
      <c r="A122" s="12" t="n">
        <v>121</v>
      </c>
      <c r="B122" s="12" t="inlineStr">
        <is>
          <t>★★</t>
        </is>
      </c>
      <c r="C122" s="12" t="inlineStr">
        <is>
          <t>現代日本語書き言葉均衡コーパスの略称はどれか。</t>
        </is>
      </c>
      <c r="D122" s="12" t="inlineStr">
        <is>
          <t>B</t>
        </is>
      </c>
      <c r="E122" s="12" t="inlineStr">
        <is>
          <t>CSJ</t>
        </is>
      </c>
      <c r="F122" s="12" t="inlineStr">
        <is>
          <t>BCCWJ</t>
        </is>
      </c>
      <c r="G122" s="12" t="inlineStr">
        <is>
          <t>CHJ</t>
        </is>
      </c>
      <c r="H122" s="12" t="inlineStr">
        <is>
          <t>NINJAL</t>
        </is>
      </c>
      <c r="I122" s="12" t="inlineStr">
        <is>
          <t>BCCWJは国立国語研究所が2011年に完成させた日本語の大規模コーパスです。「均衡」は多様なジャンル（書籍・雑誌・新聞・白書・ブログ・教科書など）からバランスよく収集したことを意味します。日本語研究や辞書編纂の基盤として活用されています。</t>
        </is>
      </c>
      <c r="J122" s="12" t="inlineStr">
        <is>
          <t>A：CSJは「日本語話し言葉コーパス（Corpus of Spontaneous Japanese）」の略称で、書き言葉ではなく話し言葉のコーパスです。C：CHJは「日本語歴史コーパス（Corpus of Historical Japanese）」の略称で、歴史的文献のコーパスです。D：NINJALは「国立国語研究所（National Institute for Japanese Language and Linguistics）」の略称で、コーパスの名称ではありません。</t>
        </is>
      </c>
      <c r="K122" s="12" t="inlineStr">
        <is>
          <t>教程3</t>
        </is>
      </c>
    </row>
    <row r="123" ht="50.1" customHeight="1">
      <c r="A123" s="12" t="n">
        <v>122</v>
      </c>
      <c r="B123" s="12" t="inlineStr">
        <is>
          <t>★★★</t>
        </is>
      </c>
      <c r="C123" s="12" t="inlineStr">
        <is>
          <t>BCCWJの全文検索サイトの名称は何か。</t>
        </is>
      </c>
      <c r="D123" s="12" t="inlineStr">
        <is>
          <t>A</t>
        </is>
      </c>
      <c r="E123" s="12" t="inlineStr">
        <is>
          <t>少納言</t>
        </is>
      </c>
      <c r="F123" s="12" t="inlineStr">
        <is>
          <t>中納言</t>
        </is>
      </c>
      <c r="G123" s="12" t="inlineStr">
        <is>
          <t>大納言</t>
        </is>
      </c>
      <c r="H123" s="12" t="inlineStr">
        <is>
          <t>ひまわり</t>
        </is>
      </c>
      <c r="I123" s="12" t="inlineStr">
        <is>
          <t>少納言はBCCWJの全文検索ができるウェブサイトで、語や表現の用例を簡単に検索できます。ユーザー登録不要で誰でも利用可能です。中納言はより詳細な条件検索が可能な高機能版ですが、登録が必要です。</t>
        </is>
      </c>
      <c r="J123" s="12" t="inlineStr">
        <is>
          <t>B：中納言はBCCWJの高機能検索ツールで、品詞情報などを使った詳細な検索が可能ですが、全文検索の簡易版は少納言です。C：大納言はBCCWJの長単位検索システムで、別のツールです。D：ひまわりは国立国語研究所のコーパス検索アプリケーションの名称で、BCCWJ専用の全文検索サイトではありません。</t>
        </is>
      </c>
      <c r="K123" s="12" t="inlineStr">
        <is>
          <t>教程3</t>
        </is>
      </c>
    </row>
    <row r="124" ht="50.1" customHeight="1">
      <c r="A124" s="12" t="n">
        <v>123</v>
      </c>
      <c r="B124" s="12" t="inlineStr">
        <is>
          <t>★★</t>
        </is>
      </c>
      <c r="C124" s="12" t="inlineStr">
        <is>
          <t>日本語教育学会の学会誌の名称は何か。</t>
        </is>
      </c>
      <c r="D124" s="12" t="inlineStr">
        <is>
          <t>B</t>
        </is>
      </c>
      <c r="E124" s="12" t="inlineStr">
        <is>
          <t>日本語研究</t>
        </is>
      </c>
      <c r="F124" s="12" t="inlineStr">
        <is>
          <t>日本語教育</t>
        </is>
      </c>
      <c r="G124" s="12" t="inlineStr">
        <is>
          <t>言語と文化</t>
        </is>
      </c>
      <c r="H124" s="12" t="inlineStr">
        <is>
          <t>日本語学</t>
        </is>
      </c>
      <c r="I124" s="12" t="inlineStr">
        <is>
          <t>学会誌『日本語教育』は日本語教育学会が発行する学術雑誌で、日本語教育の研究成果を発表する主要な場です。年3回刊行され、日本語教育の理論と実践に関する幅広いテーマを扱っています。</t>
        </is>
      </c>
      <c r="J124" s="12" t="inlineStr">
        <is>
          <t>A：『日本語研究』は日本語教育学会の学会誌名ではありません。C：『言語と文化』も学会誌名ではありません。D：『日本語学』は明治書院が発行する雑誌で、日本語教育学会の学会誌ではありません。</t>
        </is>
      </c>
      <c r="K124" s="12" t="inlineStr">
        <is>
          <t>教程3</t>
        </is>
      </c>
    </row>
    <row r="125" ht="50.1" customHeight="1">
      <c r="A125" s="12" t="n">
        <v>124</v>
      </c>
      <c r="B125" s="12" t="inlineStr">
        <is>
          <t>★</t>
        </is>
      </c>
      <c r="C125" s="12" t="inlineStr">
        <is>
          <t>台湾が日本の植民地となったきっかけの戦争は何か。</t>
        </is>
      </c>
      <c r="D125" s="12" t="inlineStr">
        <is>
          <t>B</t>
        </is>
      </c>
      <c r="E125" s="12" t="inlineStr">
        <is>
          <t>日露戦争</t>
        </is>
      </c>
      <c r="F125" s="12" t="inlineStr">
        <is>
          <t>日清戦争</t>
        </is>
      </c>
      <c r="G125" s="12" t="inlineStr">
        <is>
          <t>第一次世界大戦</t>
        </is>
      </c>
      <c r="H125" s="12" t="inlineStr">
        <is>
          <t>米西戦争</t>
        </is>
      </c>
      <c r="I125" s="12" t="inlineStr">
        <is>
          <t>1894〜1895年の日清戦争で日本が清国に勝利し、下関条約により台湾・澎湖諸島が日本に割譲されました。これにより台湾は日本の最初の植民地となり、伊沢修二による芝山巌学堂の設立など、日本語（国語）教育が始まりました。</t>
        </is>
      </c>
      <c r="J125" s="12" t="inlineStr">
        <is>
          <t>A：日露戦争（1904〜1905年）は台湾ではなく、朝鮮半島への影響が大きい戦争です。C：第一次世界大戦（1914〜1918年）は台湾植民地化の後の出来事です。D：米西戦争（1898年）はアメリカとスペインの戦争で、フィリピンやキューバに関する戦争です。</t>
        </is>
      </c>
      <c r="K125" s="12" t="inlineStr">
        <is>
          <t>教程3</t>
        </is>
      </c>
    </row>
    <row r="126" ht="50.1" customHeight="1">
      <c r="A126" s="12" t="n">
        <v>125</v>
      </c>
      <c r="B126" s="12" t="inlineStr">
        <is>
          <t>★</t>
        </is>
      </c>
      <c r="C126" s="12" t="inlineStr">
        <is>
          <t>1910年の韓国併合で設置された機関は何か。</t>
        </is>
      </c>
      <c r="D126" s="12" t="inlineStr">
        <is>
          <t>B</t>
        </is>
      </c>
      <c r="E126" s="12" t="inlineStr">
        <is>
          <t>台湾総督府</t>
        </is>
      </c>
      <c r="F126" s="12" t="inlineStr">
        <is>
          <t>朝鮮総督府</t>
        </is>
      </c>
      <c r="G126" s="12" t="inlineStr">
        <is>
          <t>満州国政府</t>
        </is>
      </c>
      <c r="H126" s="12" t="inlineStr">
        <is>
          <t>南洋庁</t>
        </is>
      </c>
      <c r="I126" s="12" t="inlineStr">
        <is>
          <t>1910年の韓国併合条約により朝鮮は日本の植民地となり、統治機関として朝鮮総督府が設置されました。朝鮮総督は天皇に直属し、軍事・行政・司法の全権を掌握しました。教育面では朝鮮教育令のもと、日本語が「国語」として教えられました。</t>
        </is>
      </c>
      <c r="J126" s="12" t="inlineStr">
        <is>
          <t>A：台湾総督府は1895年の下関条約後に台湾統治のために設置された機関です。C：満州国政府は1932年の満州国建国時に設立された政府です。D：南洋庁は第一次世界大戦後に日本が委任統治した南洋諸島を管轄する機関です。</t>
        </is>
      </c>
      <c r="K126" s="12" t="inlineStr">
        <is>
          <t>教程3</t>
        </is>
      </c>
    </row>
    <row r="127" ht="50.1" customHeight="1">
      <c r="A127" s="12" t="n">
        <v>126</v>
      </c>
      <c r="B127" s="12" t="inlineStr">
        <is>
          <t>★★</t>
        </is>
      </c>
      <c r="C127" s="12" t="inlineStr">
        <is>
          <t>サンフランシスコ講和条約が結ばれたのは何年か。</t>
        </is>
      </c>
      <c r="D127" s="12" t="inlineStr">
        <is>
          <t>B</t>
        </is>
      </c>
      <c r="E127" s="12" t="inlineStr">
        <is>
          <t>1945年</t>
        </is>
      </c>
      <c r="F127" s="12" t="inlineStr">
        <is>
          <t>1951年</t>
        </is>
      </c>
      <c r="G127" s="12" t="inlineStr">
        <is>
          <t>1952年</t>
        </is>
      </c>
      <c r="H127" s="12" t="inlineStr">
        <is>
          <t>1972年</t>
        </is>
      </c>
      <c r="I127" s="12" t="inlineStr">
        <is>
          <t>サンフランシスコ講和条約は1951年9月8日に署名されました。第二次世界大戦後の日本の国際的地位を回復させる条約で、48カ国が署名しました。条約の発効は1952年4月28日です。</t>
        </is>
      </c>
      <c r="J127" s="12" t="inlineStr">
        <is>
          <t>A：1945年は終戦（ポツダム宣言受諾）の年で、講和条約はその6年後です。C：1952年は条約の発効年であり、署名年ではありません。D：1972年は日中国交正常化の年です。</t>
        </is>
      </c>
      <c r="K127" s="12" t="inlineStr">
        <is>
          <t>教程3</t>
        </is>
      </c>
    </row>
    <row r="128" ht="50.1" customHeight="1">
      <c r="A128" s="12" t="n">
        <v>127</v>
      </c>
      <c r="B128" s="12" t="inlineStr">
        <is>
          <t>★★</t>
        </is>
      </c>
      <c r="C128" s="12" t="inlineStr">
        <is>
          <t>フォリナートークとは何か。</t>
        </is>
      </c>
      <c r="D128" s="12" t="inlineStr">
        <is>
          <t>B</t>
        </is>
      </c>
      <c r="E128" s="12" t="inlineStr">
        <is>
          <t>教師が学習者に使う話し方</t>
        </is>
      </c>
      <c r="F128" s="12" t="inlineStr">
        <is>
          <t>一般の母語話者が非母語話者に使う簡略化された話し方</t>
        </is>
      </c>
      <c r="G128" s="12" t="inlineStr">
        <is>
          <t>乳幼児に対する話し方</t>
        </is>
      </c>
      <c r="H128" s="12" t="inlineStr">
        <is>
          <t>方言を使った話し方</t>
        </is>
      </c>
      <c r="I128" s="12" t="inlineStr">
        <is>
          <t>フォリナートーク（foreigner talk）は、一般の母語話者が外国人と話す際に無意識的に行う言語調整です。ティーチャートークが教育目的で意識的に行われるのに対し、フォリナートークは日常のコミュニケーションで自然に生じます。文法の簡略化、大きな声、誇張された発音などの特徴が見られます。</t>
        </is>
      </c>
      <c r="J128" s="12" t="inlineStr">
        <is>
          <t>A：教師が学習者に使う話し方は「ティーチャートーク」です。フォリナートークは一般の母語話者が使うものです。C：乳幼児に対する話し方は「ベビートーク」（マザリーズとも呼ばれる）です。D：方言を使った話し方はフォリナートークとは関係ありません。</t>
        </is>
      </c>
      <c r="K128" s="12" t="inlineStr">
        <is>
          <t>教程4</t>
        </is>
      </c>
    </row>
    <row r="129" ht="50.1" customHeight="1">
      <c r="A129" s="12" t="n">
        <v>128</v>
      </c>
      <c r="B129" s="12" t="inlineStr">
        <is>
          <t>★</t>
        </is>
      </c>
      <c r="C129" s="12" t="inlineStr">
        <is>
          <t>ベビートークとは何か。</t>
        </is>
      </c>
      <c r="D129" s="12" t="inlineStr">
        <is>
          <t>C</t>
        </is>
      </c>
      <c r="E129" s="12" t="inlineStr">
        <is>
          <t>教師が学習者に使う話し方</t>
        </is>
      </c>
      <c r="F129" s="12" t="inlineStr">
        <is>
          <t>非母語話者向けの話し方</t>
        </is>
      </c>
      <c r="G129" s="12" t="inlineStr">
        <is>
          <t>乳幼児に対する簡略化された話し方</t>
        </is>
      </c>
      <c r="H129" s="12" t="inlineStr">
        <is>
          <t>方言を使った話し方</t>
        </is>
      </c>
      <c r="I129" s="12" t="inlineStr">
        <is>
          <t>ベビートークは乳幼児の言語発達を促進する役割があるとされています。養育者が無意識的に行う話し方の調整で、注意を引きつける高い声、理解を助ける簡単な語彙、記憶を促す繰り返しなどの特徴があります。</t>
        </is>
      </c>
      <c r="J129" s="12" t="inlineStr">
        <is>
          <t>A：教師が学習者に使う話し方は「ティーチャートーク」です。B：非母語話者向けの話し方は「フォリナートーク」です。D：方言を使った話し方はベビートークとは関係ありません。</t>
        </is>
      </c>
      <c r="K129" s="12" t="inlineStr">
        <is>
          <t>教程4</t>
        </is>
      </c>
    </row>
    <row r="130" ht="50.1" customHeight="1">
      <c r="A130" s="12" t="n">
        <v>129</v>
      </c>
      <c r="B130" s="12" t="inlineStr">
        <is>
          <t>★★</t>
        </is>
      </c>
      <c r="C130" s="12" t="inlineStr">
        <is>
          <t>維持型バイリンガル教育の目的は何か。</t>
        </is>
      </c>
      <c r="D130" s="12" t="inlineStr">
        <is>
          <t>B</t>
        </is>
      </c>
      <c r="E130" s="12" t="inlineStr">
        <is>
          <t>多数派言語のみを教育すること</t>
        </is>
      </c>
      <c r="F130" s="12" t="inlineStr">
        <is>
          <t>少数派言語能力を伸ばし文化的アイデンティティを強化すること</t>
        </is>
      </c>
      <c r="G130" s="12" t="inlineStr">
        <is>
          <t>母語を忘れさせること</t>
        </is>
      </c>
      <c r="H130" s="12" t="inlineStr">
        <is>
          <t>英語教育を推進すること</t>
        </is>
      </c>
      <c r="I130" s="12" t="inlineStr">
        <is>
          <t>維持型バイリンガル教育は、少数言語話者の子どもが主流言語（多数派言語）の環境に置かれても母語を失わないよう、母語での教育を継続する教育形態です。言語的・文化的多様性の保持と、子どものアイデンティティ形成を支援します。</t>
        </is>
      </c>
      <c r="J130" s="12" t="inlineStr">
        <is>
          <t>A：多数派言語のみを教育するのは「移行型バイリンガル教育」や「同化主義的教育」に近く、維持型とは異なります。C：母語を忘れさせるのは「サブトラクティブ・バイリンガリズム（減算的二言語使用）」で、維持型の目的とは正反対です。D：英語教育の推進は維持型バイリンガル教育の目的ではありません。</t>
        </is>
      </c>
      <c r="K130" s="12" t="inlineStr">
        <is>
          <t>教程4</t>
        </is>
      </c>
    </row>
    <row r="131" ht="50.1" customHeight="1">
      <c r="A131" s="12" t="n">
        <v>130</v>
      </c>
      <c r="B131" s="12" t="inlineStr">
        <is>
          <t>★★</t>
        </is>
      </c>
      <c r="C131" s="12" t="inlineStr">
        <is>
          <t>拠点校方式とはどのような方式か。</t>
        </is>
      </c>
      <c r="D131" s="12" t="inlineStr">
        <is>
          <t>C</t>
        </is>
      </c>
      <c r="E131" s="12" t="inlineStr">
        <is>
          <t>別室で指導する方式</t>
        </is>
      </c>
      <c r="F131" s="12" t="inlineStr">
        <is>
          <t>教室内でサポートする方式</t>
        </is>
      </c>
      <c r="G131" s="12" t="inlineStr">
        <is>
          <t>日本語指導体制が整った学校に集中在籍させる方式</t>
        </is>
      </c>
      <c r="H131" s="12" t="inlineStr">
        <is>
          <t>特定の学校に定期的に通う方式</t>
        </is>
      </c>
      <c r="I131" s="12" t="inlineStr">
        <is>
          <t>拠点校方式は、日本語指導教員や多文化相談員などの支援体制が整備された学校に外国人児童生徒を集めて在籍させる方式です。人的・物的資源を集約できるメリットがある一方、居住地域の学校に通えないという課題もあります。</t>
        </is>
      </c>
      <c r="J131" s="12" t="inlineStr">
        <is>
          <t>A：別室で指導する方式は「取り出し授業」です。B：教室内でサポートする方式は「入り込み授業」です。D：特定の学校に定期的に通う方式は「センター校方式」で、拠点校方式とは異なります。</t>
        </is>
      </c>
      <c r="K131" s="12" t="inlineStr">
        <is>
          <t>教程4</t>
        </is>
      </c>
    </row>
    <row r="132" ht="50.1" customHeight="1">
      <c r="A132" s="12" t="n">
        <v>131</v>
      </c>
      <c r="B132" s="12" t="inlineStr">
        <is>
          <t>★★</t>
        </is>
      </c>
      <c r="C132" s="12" t="inlineStr">
        <is>
          <t>センター校方式とはどのような方式か。</t>
        </is>
      </c>
      <c r="D132" s="12" t="inlineStr">
        <is>
          <t>D</t>
        </is>
      </c>
      <c r="E132" s="12" t="inlineStr">
        <is>
          <t>別室で指導する方式</t>
        </is>
      </c>
      <c r="F132" s="12" t="inlineStr">
        <is>
          <t>教室内でサポートする方式</t>
        </is>
      </c>
      <c r="G132" s="12" t="inlineStr">
        <is>
          <t>特定校に集中在籍させる方式</t>
        </is>
      </c>
      <c r="H132" s="12" t="inlineStr">
        <is>
          <t>特定校の日本語教室に定期的に通う方式</t>
        </is>
      </c>
      <c r="I132" s="12" t="inlineStr">
        <is>
          <t>センター校方式は、日本語教室を持つ学校（センター校）に、周辺の学校から外国人児童生徒が通級する方式です。児童は地域の学校に在籍したまま、必要な時だけセンター校で集中的な日本語指導を受けられます。</t>
        </is>
      </c>
      <c r="J132" s="12" t="inlineStr">
        <is>
          <t>A：別室で指導する方式は「取り出し授業」です。B：教室内でサポートする方式は「入り込み授業」です。C：特定校に集中在籍させる方式は「拠点校方式」で、センター校方式では在籍校は地域の学校です。</t>
        </is>
      </c>
      <c r="K132" s="12" t="inlineStr">
        <is>
          <t>教程4</t>
        </is>
      </c>
    </row>
    <row r="133" ht="50.1" customHeight="1">
      <c r="A133" s="12" t="n">
        <v>132</v>
      </c>
      <c r="B133" s="12" t="inlineStr">
        <is>
          <t>★★</t>
        </is>
      </c>
      <c r="C133" s="12" t="inlineStr">
        <is>
          <t>国際人権規約第27条は何を保護しているか。</t>
        </is>
      </c>
      <c r="D133" s="12" t="inlineStr">
        <is>
          <t>B</t>
        </is>
      </c>
      <c r="E133" s="12" t="inlineStr">
        <is>
          <t>経済的権利</t>
        </is>
      </c>
      <c r="F133" s="12" t="inlineStr">
        <is>
          <t>少数民族の文化・宗教・言語の権利</t>
        </is>
      </c>
      <c r="G133" s="12" t="inlineStr">
        <is>
          <t>教育の権利</t>
        </is>
      </c>
      <c r="H133" s="12" t="inlineStr">
        <is>
          <t>労働の権利</t>
        </is>
      </c>
      <c r="I133" s="12" t="inlineStr">
        <is>
          <t>国際人権規約B規約（自由権規約）第27条は、「種族的、宗教的又は言語的少数民族が存在する国において、当該少数民族に属する者は、その集団の他の構成員とともに自己の文化を享有し、自己の宗教を信仰しかつ実践し又は自己の言語を使用する権利を否定されない」と定めています。</t>
        </is>
      </c>
      <c r="J133" s="12" t="inlineStr">
        <is>
          <t>A：経済的権利は主にA規約（社会権規約）で扱われており、第27条の内容ではありません。C：教育の権利も別の条項（A規約第13条など）で規定されています。D：労働の権利もA規約で扱われる内容です。</t>
        </is>
      </c>
      <c r="K133" s="12" t="inlineStr">
        <is>
          <t>教程4</t>
        </is>
      </c>
    </row>
    <row r="134" ht="50.1" customHeight="1">
      <c r="A134" s="12" t="n">
        <v>133</v>
      </c>
      <c r="B134" s="12" t="inlineStr">
        <is>
          <t>★★</t>
        </is>
      </c>
      <c r="C134" s="12" t="inlineStr">
        <is>
          <t>各地域の文化が反映された英語のことを何と言うか。</t>
        </is>
      </c>
      <c r="D134" s="12" t="inlineStr">
        <is>
          <t>B</t>
        </is>
      </c>
      <c r="E134" s="12" t="inlineStr">
        <is>
          <t>リンガ・フランカ</t>
        </is>
      </c>
      <c r="F134" s="12" t="inlineStr">
        <is>
          <t>新英語</t>
        </is>
      </c>
      <c r="G134" s="12" t="inlineStr">
        <is>
          <t>ピジン英語</t>
        </is>
      </c>
      <c r="H134" s="12" t="inlineStr">
        <is>
          <t>クレオール英語</t>
        </is>
      </c>
      <c r="I134" s="12" t="inlineStr">
        <is>
          <t>新英語は、英語が母語ではない国・地域で第二言語や公用語として使われる過程で、現地の言語や文化の影響を受けて独自に発展した英語の変種です。カチュル（Kachru）の三つの同心円モデルで「拡張円（Outer Circle）」に位置する国々の英語が代表例です。</t>
        </is>
      </c>
      <c r="J134" s="12" t="inlineStr">
        <is>
          <t>A：リンガ・フランカは異言語話者間の共通語の総称で、特定の地域的変種を指す概念ではありません。C：ピジン英語はピジン化した英語（簡略化された接触言語）で、完全な言語体系を持つ新英語とは異なります。D：クレオール英語はピジン英語が母語化したもので、新英語とは発展過程が異なります。</t>
        </is>
      </c>
      <c r="K134" s="12" t="inlineStr">
        <is>
          <t>教程4</t>
        </is>
      </c>
    </row>
    <row r="135" ht="50.1" customHeight="1">
      <c r="A135" s="12" t="n">
        <v>134</v>
      </c>
      <c r="B135" s="12" t="inlineStr">
        <is>
          <t>★★★</t>
        </is>
      </c>
      <c r="C135" s="12" t="inlineStr">
        <is>
          <t>難民審査参与員制度の導入年はいつか。</t>
        </is>
      </c>
      <c r="D135" s="12" t="inlineStr">
        <is>
          <t>C</t>
        </is>
      </c>
      <c r="E135" s="12" t="inlineStr">
        <is>
          <t>1990年</t>
        </is>
      </c>
      <c r="F135" s="12" t="inlineStr">
        <is>
          <t>2001年</t>
        </is>
      </c>
      <c r="G135" s="12" t="inlineStr">
        <is>
          <t>2005年</t>
        </is>
      </c>
      <c r="H135" s="12" t="inlineStr">
        <is>
          <t>2010年</t>
        </is>
      </c>
      <c r="I135" s="12" t="inlineStr">
        <is>
          <t>難民審査参与員制度は2005年の入管法改正により導入されました。難民認定手続きの公正性・透明性を高めるため、法律・国際情勢等の有識者が参与員として審査に関わります。参与員は難民認定に関する専門的知見を持つ弁護士、学者、元外交官などから任命されます。</t>
        </is>
      </c>
      <c r="J135" s="12" t="inlineStr">
        <is>
          <t>A：1990年は改正入管法施行（日系人への定住者資格付与）の年です。B：2001年はこの制度の導入年ではありません。D：2010年は在留資格「就学」と「留学」の統一年です。</t>
        </is>
      </c>
      <c r="K135" s="12" t="inlineStr">
        <is>
          <t>教程2</t>
        </is>
      </c>
    </row>
    <row r="136" ht="50.1" customHeight="1">
      <c r="A136" s="12" t="n">
        <v>135</v>
      </c>
      <c r="B136" s="12" t="inlineStr">
        <is>
          <t>★★★</t>
        </is>
      </c>
      <c r="C136" s="12" t="inlineStr">
        <is>
          <t>インドシナ難民受け入れ終了年はいつか。</t>
        </is>
      </c>
      <c r="D136" s="12" t="inlineStr">
        <is>
          <t>C</t>
        </is>
      </c>
      <c r="E136" s="12" t="inlineStr">
        <is>
          <t>1990年</t>
        </is>
      </c>
      <c r="F136" s="12" t="inlineStr">
        <is>
          <t>2000年</t>
        </is>
      </c>
      <c r="G136" s="12" t="inlineStr">
        <is>
          <t>2005年</t>
        </is>
      </c>
      <c r="H136" s="12" t="inlineStr">
        <is>
          <t>2010年</t>
        </is>
      </c>
      <c r="I136" s="12" t="inlineStr">
        <is>
          <t>日本は1978年からインドシナ難民の定住受入れを開始し、2005年に受入れ事業を終了しました。この間に約11,000人のインドシナ難民が日本に定住しました。受入れ終了後も、2010年からはミャンマー難民を対象とした第三国定住プログラムが始まっています。</t>
        </is>
      </c>
      <c r="J136" s="12" t="inlineStr">
        <is>
          <t>A：1990年は受入れ終了年ではありません。B：2000年も受入れ終了年ではありません。D：2010年は第三国定住パイロット事業が始まった年です。</t>
        </is>
      </c>
      <c r="K136" s="12" t="inlineStr">
        <is>
          <t>教程2</t>
        </is>
      </c>
    </row>
    <row r="137" ht="50.1" customHeight="1">
      <c r="A137" s="12" t="n">
        <v>136</v>
      </c>
      <c r="B137" s="12" t="inlineStr">
        <is>
          <t>★★★</t>
        </is>
      </c>
      <c r="C137" s="12" t="inlineStr">
        <is>
          <t>RHQ支援センター開設年はいつか。</t>
        </is>
      </c>
      <c r="D137" s="12" t="inlineStr">
        <is>
          <t>C</t>
        </is>
      </c>
      <c r="E137" s="12" t="inlineStr">
        <is>
          <t>2000年</t>
        </is>
      </c>
      <c r="F137" s="12" t="inlineStr">
        <is>
          <t>2005年</t>
        </is>
      </c>
      <c r="G137" s="12" t="inlineStr">
        <is>
          <t>2006年</t>
        </is>
      </c>
      <c r="H137" s="12" t="inlineStr">
        <is>
          <t>2010年</t>
        </is>
      </c>
      <c r="I137" s="12" t="inlineStr">
        <is>
          <t>RHQ支援センターは2006年に東京都品川区に開設され、難民の日本社会への定住を支援しています。日本語教育（572時間）、生活ガイダンス、就職支援などのプログラムを提供しています。RHQは「Refugee Headquarters」の略称です。</t>
        </is>
      </c>
      <c r="J137" s="12" t="inlineStr">
        <is>
          <t>A：2000年は開設年ではありません。B：2005年はインドシナ難民受入れ終了年です。D：2010年は第三国定住パイロット事業開始年です。</t>
        </is>
      </c>
      <c r="K137" s="12" t="inlineStr">
        <is>
          <t>教程2</t>
        </is>
      </c>
    </row>
    <row r="138" ht="50.1" customHeight="1">
      <c r="A138" s="12" t="n">
        <v>137</v>
      </c>
      <c r="B138" s="12" t="inlineStr">
        <is>
          <t>★★</t>
        </is>
      </c>
      <c r="C138" s="12" t="inlineStr">
        <is>
          <t>ランド・ピープルとボート・ピープルに関連する難民はどれか。</t>
        </is>
      </c>
      <c r="D138" s="12" t="inlineStr">
        <is>
          <t>B</t>
        </is>
      </c>
      <c r="E138" s="12" t="inlineStr">
        <is>
          <t>シリア難民</t>
        </is>
      </c>
      <c r="F138" s="12" t="inlineStr">
        <is>
          <t>インドシナ難民</t>
        </is>
      </c>
      <c r="G138" s="12" t="inlineStr">
        <is>
          <t>アフガニスタン難民</t>
        </is>
      </c>
      <c r="H138" s="12" t="inlineStr">
        <is>
          <t>ウクライナ難民</t>
        </is>
      </c>
      <c r="I138" s="12" t="inlineStr">
        <is>
          <t>インドシナ難民は脱出経路により、陸路で隣国に逃れた「ランド・ピープル」と、船で海上に脱出した「ボート・ピープル」に分類されます。特にベトナムからのボート・ピープルは国際的に大きな注目を集め、日本にも漂着しました。</t>
        </is>
      </c>
      <c r="J138" s="12" t="inlineStr">
        <is>
          <t>A：シリア難民は主に陸路で周辺国やヨーロッパに避難しており、「ボート・ピープル」の概念とは直接結びつきません。C：アフガニスタン難民も同様です。D：ウクライナ難民は2022年以降の避難民で、インドシナ難民とは時代・地域が異なります。</t>
        </is>
      </c>
      <c r="K138" s="12" t="inlineStr">
        <is>
          <t>教程2</t>
        </is>
      </c>
    </row>
    <row r="139" ht="50.1" customHeight="1">
      <c r="A139" s="12" t="n">
        <v>138</v>
      </c>
      <c r="B139" s="12" t="inlineStr">
        <is>
          <t>★★★</t>
        </is>
      </c>
      <c r="C139" s="12" t="inlineStr">
        <is>
          <t>特定技能の二国間取決め署名国に含まれないのはどれか。</t>
        </is>
      </c>
      <c r="D139" s="12" t="inlineStr">
        <is>
          <t>C</t>
        </is>
      </c>
      <c r="E139" s="12" t="inlineStr">
        <is>
          <t>フィリピン</t>
        </is>
      </c>
      <c r="F139" s="12" t="inlineStr">
        <is>
          <t>ベトナム</t>
        </is>
      </c>
      <c r="G139" s="12" t="inlineStr">
        <is>
          <t>韓国</t>
        </is>
      </c>
      <c r="H139" s="12" t="inlineStr">
        <is>
          <t>インドネシア</t>
        </is>
      </c>
      <c r="I139" s="12" t="inlineStr">
        <is>
          <t>特定技能制度では、送出国との二国間取決め（MOC）を締結し、悪質なブローカーの排除や適正な送出しの確保を図っています。韓国は独自の外国人労働者受入れ制度（雇用許可制）を持つ先進国であり、特定技能の二国間取決めの署名国には含まれていません。</t>
        </is>
      </c>
      <c r="J139" s="12" t="inlineStr">
        <is>
          <t>A：フィリピンは二国間取決め署名国の一つです。B：ベトナムも署名国の一つで、特定技能の在留資格を持つ外国人の中で最も多い国籍です。D：インドネシアも署名国の一つです。</t>
        </is>
      </c>
      <c r="K139" s="12" t="inlineStr">
        <is>
          <t>教程2</t>
        </is>
      </c>
    </row>
    <row r="140" ht="50.1" customHeight="1">
      <c r="A140" s="12" t="n">
        <v>139</v>
      </c>
      <c r="B140" s="12" t="inlineStr">
        <is>
          <t>★★★</t>
        </is>
      </c>
      <c r="C140" s="12" t="inlineStr">
        <is>
          <t>2024年度追加の特定技能4分野に含まれるのはどれか。</t>
        </is>
      </c>
      <c r="D140" s="12" t="inlineStr">
        <is>
          <t>A</t>
        </is>
      </c>
      <c r="E140" s="12" t="inlineStr">
        <is>
          <t>自動車運送業</t>
        </is>
      </c>
      <c r="F140" s="12" t="inlineStr">
        <is>
          <t>介護</t>
        </is>
      </c>
      <c r="G140" s="12" t="inlineStr">
        <is>
          <t>外食業</t>
        </is>
      </c>
      <c r="H140" s="12" t="inlineStr">
        <is>
          <t>農業</t>
        </is>
      </c>
      <c r="I140" s="12" t="inlineStr">
        <is>
          <t>2024年の閣議決定により特定技能の対象分野が12分野から16分野に拡大され、自動車運送業（トラック・バス・タクシー運転手）が新たに追加されました。深刻な人手不足に対応するための措置です。</t>
        </is>
      </c>
      <c r="J140" s="12" t="inlineStr">
        <is>
          <t>B：介護は2019年の制度創設時からの既存分野です。C：外食業も2019年からの既存分野です。D：農業も2019年からの既存分野です。</t>
        </is>
      </c>
      <c r="K140" s="12" t="inlineStr">
        <is>
          <t>教程2</t>
        </is>
      </c>
    </row>
    <row r="141" ht="50.1" customHeight="1">
      <c r="A141" s="12" t="n">
        <v>140</v>
      </c>
      <c r="B141" s="12" t="inlineStr">
        <is>
          <t>★★</t>
        </is>
      </c>
      <c r="C141" s="12" t="inlineStr">
        <is>
          <t>「生活者としての外国人」の定義として正しいものはどれか。</t>
        </is>
      </c>
      <c r="D141" s="12" t="inlineStr">
        <is>
          <t>B</t>
        </is>
      </c>
      <c r="E141" s="12" t="inlineStr">
        <is>
          <t>日本国籍を持つ外国出身者</t>
        </is>
      </c>
      <c r="F141" s="12" t="inlineStr">
        <is>
          <t>日常的な生活を営むすべての外国人</t>
        </is>
      </c>
      <c r="G141" s="12" t="inlineStr">
        <is>
          <t>留学生のみ</t>
        </is>
      </c>
      <c r="H141" s="12" t="inlineStr">
        <is>
          <t>就労ビザ保持者のみ</t>
        </is>
      </c>
      <c r="I141" s="12" t="inlineStr">
        <is>
          <t>「生活者としての外国人」は文化審議会国語分科会が示した概念で、特定の在留資格に限定せず、日本で日常生活を送る外国人全般を指します。すべての外国人が日本社会で安心して生活できるよう、日本語教育の機会を提供することが求められています。</t>
        </is>
      </c>
      <c r="J141" s="12" t="inlineStr">
        <is>
          <t>A：日本国籍を持つ外国出身者は帰化した日本人であり、「外国人」の定義には含まれません。C：留学生のみに限定するものではありません。D：就労ビザ保持者のみでもなく、家族滞在や定住者なども含む広い概念です。</t>
        </is>
      </c>
      <c r="K141" s="12" t="inlineStr">
        <is>
          <t>教程2</t>
        </is>
      </c>
    </row>
    <row r="142" ht="50.1" customHeight="1">
      <c r="A142" s="12" t="n">
        <v>141</v>
      </c>
      <c r="B142" s="12" t="inlineStr">
        <is>
          <t>★</t>
        </is>
      </c>
      <c r="C142" s="12" t="inlineStr">
        <is>
          <t>夜間中学とはどのような学校か。</t>
        </is>
      </c>
      <c r="D142" s="12" t="inlineStr">
        <is>
          <t>B</t>
        </is>
      </c>
      <c r="E142" s="12" t="inlineStr">
        <is>
          <t>私立の学習塾</t>
        </is>
      </c>
      <c r="F142" s="12" t="inlineStr">
        <is>
          <t>公立中学校で夜間に授業を行うもの</t>
        </is>
      </c>
      <c r="G142" s="12" t="inlineStr">
        <is>
          <t>フリースクール</t>
        </is>
      </c>
      <c r="H142" s="12" t="inlineStr">
        <is>
          <t>外国人専用学校</t>
        </is>
      </c>
      <c r="I142" s="12" t="inlineStr">
        <is>
          <t>夜間中学（正式には中学校夜間学級）は、戦後の混乱期に義務教育を受けられなかった人々のために始まりました。近年は外国人住民や不登校経験者の学び直しの場としても注目されています。2016年の教育機会確保法により、各都道府県に少なくとも一つの夜間中学の設置が求められています。</t>
        </is>
      </c>
      <c r="J142" s="12" t="inlineStr">
        <is>
          <t>A：夜間中学は私立の学習塾ではなく、公立中学校に設置される正規の教育課程です。C：フリースクールは民間の教育施設で、夜間中学とは別のものです。D：外国人専用学校ではなく、日本人・外国人を問わず入学できます。</t>
        </is>
      </c>
      <c r="K142" s="12" t="inlineStr">
        <is>
          <t>教程2</t>
        </is>
      </c>
    </row>
    <row r="143" ht="50.1" customHeight="1">
      <c r="A143" s="12" t="n">
        <v>142</v>
      </c>
      <c r="B143" s="12" t="inlineStr">
        <is>
          <t>★★</t>
        </is>
      </c>
      <c r="C143" s="12" t="inlineStr">
        <is>
          <t>多文化共生推進プランを策定した省庁はどこか。</t>
        </is>
      </c>
      <c r="D143" s="12" t="inlineStr">
        <is>
          <t>C</t>
        </is>
      </c>
      <c r="E143" s="12" t="inlineStr">
        <is>
          <t>文部科学省</t>
        </is>
      </c>
      <c r="F143" s="12" t="inlineStr">
        <is>
          <t>外務省</t>
        </is>
      </c>
      <c r="G143" s="12" t="inlineStr">
        <is>
          <t>総務省</t>
        </is>
      </c>
      <c r="H143" s="12" t="inlineStr">
        <is>
          <t>厚生労働省</t>
        </is>
      </c>
      <c r="I143" s="12" t="inlineStr">
        <is>
          <t>総務省は2006年に「多文化共生推進プラン」を策定し、地方自治体における多文化共生の推進を促しました。コミュニケーション支援、生活支援、多文化共生の地域づくりの3つの柱で施策を体系化しています。</t>
        </is>
      </c>
      <c r="J143" s="12" t="inlineStr">
        <is>
          <t>A：文部科学省は教育行政を担当しますが、多文化共生推進プランの策定は総務省です。B：外務省は外交を担当する省庁です。D：厚生労働省は医療・福祉・労働を担当する省庁です。</t>
        </is>
      </c>
      <c r="K143" s="12" t="inlineStr">
        <is>
          <t>教程2</t>
        </is>
      </c>
    </row>
    <row r="144" ht="50.1" customHeight="1">
      <c r="A144" s="12" t="n">
        <v>143</v>
      </c>
      <c r="B144" s="12" t="inlineStr">
        <is>
          <t>★★</t>
        </is>
      </c>
      <c r="C144" s="12" t="inlineStr">
        <is>
          <t>構成主義のコミュニケーションモデルの特徴はどれか。</t>
        </is>
      </c>
      <c r="D144" s="12" t="inlineStr">
        <is>
          <t>B</t>
        </is>
      </c>
      <c r="E144" s="12" t="inlineStr">
        <is>
          <t>直線的に伝達する</t>
        </is>
      </c>
      <c r="F144" s="12" t="inlineStr">
        <is>
          <t>相互的に意味を作り出す</t>
        </is>
      </c>
      <c r="G144" s="12" t="inlineStr">
        <is>
          <t>送り手のみが重要</t>
        </is>
      </c>
      <c r="H144" s="12" t="inlineStr">
        <is>
          <t>一方向的</t>
        </is>
      </c>
      <c r="I144" s="12" t="inlineStr">
        <is>
          <t>構成主義のコミュニケーションモデルでは、意味は送り手から受け手に一方的に伝達されるのではなく、参加者の相互作用を通じて共同構築されると考えます。文脈、関係性、文化的背景が意味の生成に深く関わるとする立場です。</t>
        </is>
      </c>
      <c r="J144" s="12" t="inlineStr">
        <is>
          <t>A：「直線的に伝達する」はシャノン＆ウィーバーの伝達モデルの特徴であり、構成主義モデルとは異なります。C：「送り手のみが重要」も伝達モデル的な考え方で、構成主義では送り手と受け手の両方（すべての参加者）が重要です。D：「一方向的」も伝達モデルの特徴であり、構成主義は「双方向的・相互的」です。</t>
        </is>
      </c>
      <c r="K144" s="12" t="inlineStr">
        <is>
          <t>教程5</t>
        </is>
      </c>
    </row>
    <row r="145" ht="50.1" customHeight="1">
      <c r="A145" s="12" t="n">
        <v>144</v>
      </c>
      <c r="B145" s="12" t="inlineStr">
        <is>
          <t>★★★</t>
        </is>
      </c>
      <c r="C145" s="12" t="inlineStr">
        <is>
          <t>JFスタンダードの木の根の3つの言語能力はどれか。</t>
        </is>
      </c>
      <c r="D145" s="12" t="inlineStr">
        <is>
          <t>B</t>
        </is>
      </c>
      <c r="E145" s="12" t="inlineStr">
        <is>
          <t>聞く・話す・書く</t>
        </is>
      </c>
      <c r="F145" s="12" t="inlineStr">
        <is>
          <t>言語構造的能力・社会言語能力・語用能力</t>
        </is>
      </c>
      <c r="G145" s="12" t="inlineStr">
        <is>
          <t>受容・産出・やりとり</t>
        </is>
      </c>
      <c r="H145" s="12" t="inlineStr">
        <is>
          <t>文法・語彙・発音</t>
        </is>
      </c>
      <c r="I145" s="12" t="inlineStr">
        <is>
          <t>JFスタンダードの木では、「根」が言語能力（言語構造的能力・社会言語能力・語用能力）、「枝」が言語活動（受容・産出・やりとり）を表しています。根は木全体を支える基盤であり、言語活動を支える土台としての言語能力を象徴しています。</t>
        </is>
      </c>
      <c r="J145" s="12" t="inlineStr">
        <is>
          <t>A：「聞く・話す・書く」は言語技能の一部であり、木の根の分類ではありません。C：「受容・産出・やりとり」は木の「枝」であり、「根」ではありません。D：「文法・語彙・発音」は言語構造的能力の下位要素であり、3つの言語能力そのものではありません。</t>
        </is>
      </c>
      <c r="K145" s="12" t="inlineStr">
        <is>
          <t>教程5</t>
        </is>
      </c>
    </row>
    <row r="146" ht="50.1" customHeight="1">
      <c r="A146" s="12" t="n">
        <v>145</v>
      </c>
      <c r="B146" s="12" t="inlineStr">
        <is>
          <t>★</t>
        </is>
      </c>
      <c r="C146" s="12" t="inlineStr">
        <is>
          <t>CEFRのA1・A2は何と呼ばれるか。</t>
        </is>
      </c>
      <c r="D146" s="12" t="inlineStr">
        <is>
          <t>B</t>
        </is>
      </c>
      <c r="E146" s="12" t="inlineStr">
        <is>
          <t>自立した言語使用者</t>
        </is>
      </c>
      <c r="F146" s="12" t="inlineStr">
        <is>
          <t>基礎段階の言語使用者</t>
        </is>
      </c>
      <c r="G146" s="12" t="inlineStr">
        <is>
          <t>熟達した言語使用者</t>
        </is>
      </c>
      <c r="H146" s="12" t="inlineStr">
        <is>
          <t>上級言語使用者</t>
        </is>
      </c>
      <c r="I146" s="12" t="inlineStr">
        <is>
          <t>CEFRの6段階のうち、A1・A2は「基礎段階の言語使用者」に分類されます。A1は「ごく簡単な表現を使って基本的なやりとりができる」、A2は「日常のルーティンの中で意思疎通ができる」レベルです。</t>
        </is>
      </c>
      <c r="J146" s="12" t="inlineStr">
        <is>
          <t>A：「自立した言語使用者（Independent User）」はB1・B2のレベルです。C：「熟達した言語使用者（Proficient User）」はC1・C2のレベルです。D：「上級言語使用者」という名称はCEFRでは使われていません。</t>
        </is>
      </c>
      <c r="K146" s="12" t="inlineStr">
        <is>
          <t>教程5</t>
        </is>
      </c>
    </row>
    <row r="147" ht="50.1" customHeight="1">
      <c r="A147" s="12" t="n">
        <v>146</v>
      </c>
      <c r="B147" s="12" t="inlineStr">
        <is>
          <t>★</t>
        </is>
      </c>
      <c r="C147" s="12" t="inlineStr">
        <is>
          <t>CEFRのC1・C2は何と呼ばれるか。</t>
        </is>
      </c>
      <c r="D147" s="12" t="inlineStr">
        <is>
          <t>C</t>
        </is>
      </c>
      <c r="E147" s="12" t="inlineStr">
        <is>
          <t>基礎段階</t>
        </is>
      </c>
      <c r="F147" s="12" t="inlineStr">
        <is>
          <t>自立した言語使用者</t>
        </is>
      </c>
      <c r="G147" s="12" t="inlineStr">
        <is>
          <t>熟達した言語使用者</t>
        </is>
      </c>
      <c r="H147" s="12" t="inlineStr">
        <is>
          <t>中級</t>
        </is>
      </c>
      <c r="I147" s="12" t="inlineStr">
        <is>
          <t>CEFRの最上位段階であるC1・C2は「熟達した言語使用者」です。C1は「幅広い分野のテーマについて複雑な文を作れる」、C2は「読んだり聞いたりしたほぼすべてのものを容易に理解できる」レベルです。</t>
        </is>
      </c>
      <c r="J147" s="12" t="inlineStr">
        <is>
          <t>A：「基礎段階」はA1・A2のレベルです。B：「自立した言語使用者」はB1・B2のレベルです。D：「中級」はCEFRの正式な呼称ではありません。</t>
        </is>
      </c>
      <c r="K147" s="12" t="inlineStr">
        <is>
          <t>教程5</t>
        </is>
      </c>
    </row>
    <row r="148" ht="50.1" customHeight="1">
      <c r="A148" s="12" t="n">
        <v>147</v>
      </c>
      <c r="B148" s="12" t="inlineStr">
        <is>
          <t>★</t>
        </is>
      </c>
      <c r="C148" s="12" t="inlineStr">
        <is>
          <t>「援助要求」の例はどれか。</t>
        </is>
      </c>
      <c r="D148" s="12" t="inlineStr">
        <is>
          <t>C</t>
        </is>
      </c>
      <c r="E148" s="12" t="inlineStr">
        <is>
          <t>話題を避ける</t>
        </is>
      </c>
      <c r="F148" s="12" t="inlineStr">
        <is>
          <t>別の言い方にする</t>
        </is>
      </c>
      <c r="G148" s="12" t="inlineStr">
        <is>
          <t>相手に「何と言うのですか」と聞く</t>
        </is>
      </c>
      <c r="H148" s="12" t="inlineStr">
        <is>
          <t>ジェスチャーで示す</t>
        </is>
      </c>
      <c r="I148" s="12" t="inlineStr">
        <is>
          <t>援助要求はタローンのコミュニケーション・ストラテジー分類の一つで、言語知識が不足している時に相手に直接助けを求める方略です。「これは日本語で何と言いますか」「この漢字の読み方を教えてください」などが典型例です。</t>
        </is>
      </c>
      <c r="J148" s="12" t="inlineStr">
        <is>
          <t>A：話題を避けるのは「回避」ストラテジーです。B：別の言い方にするのは「言い換え（パラフレーズ）」ストラテジーです。D：ジェスチャーで示すのは「非言語ストラテジー（身体表現）」に分類されます。</t>
        </is>
      </c>
      <c r="K148" s="12" t="inlineStr">
        <is>
          <t>教程5</t>
        </is>
      </c>
    </row>
    <row r="149" ht="50.1" customHeight="1">
      <c r="A149" s="12" t="n">
        <v>148</v>
      </c>
      <c r="B149" s="12" t="inlineStr">
        <is>
          <t>★★</t>
        </is>
      </c>
      <c r="C149" s="12" t="inlineStr">
        <is>
          <t>談話能力とはどのような能力か。</t>
        </is>
      </c>
      <c r="D149" s="12" t="inlineStr">
        <is>
          <t>C</t>
        </is>
      </c>
      <c r="E149" s="12" t="inlineStr">
        <is>
          <t>正確な文法力</t>
        </is>
      </c>
      <c r="F149" s="12" t="inlineStr">
        <is>
          <t>場面に応じた表現力</t>
        </is>
      </c>
      <c r="G149" s="12" t="inlineStr">
        <is>
          <t>一貫した談話を構築する能力</t>
        </is>
      </c>
      <c r="H149" s="12" t="inlineStr">
        <is>
          <t>問題解決能力</t>
        </is>
      </c>
      <c r="I149" s="12" t="inlineStr">
        <is>
          <t>談話能力（discourse competence）は、個々の文を超えて、まとまりのある一貫した談話を作り出す能力です。「そして」「しかし」「つまり」などの接続表現の使用、指示詞による照応、段落構成、会話のターンテイキングなどが含まれます。</t>
        </is>
      </c>
      <c r="J149" s="12" t="inlineStr">
        <is>
          <t>A：正確な文法力は「文法能力」に該当し、談話能力とは異なります。B：場面に応じた表現力は「社会言語学的能力」です。D：問題解決能力は「ストラテジー能力」に近い概念です。</t>
        </is>
      </c>
      <c r="K149" s="12" t="inlineStr">
        <is>
          <t>教程5</t>
        </is>
      </c>
    </row>
    <row r="150" ht="50.1" customHeight="1">
      <c r="A150" s="12" t="n">
        <v>149</v>
      </c>
      <c r="B150" s="12" t="inlineStr">
        <is>
          <t>★★</t>
        </is>
      </c>
      <c r="C150" s="12" t="inlineStr">
        <is>
          <t>言語保障とは何か。</t>
        </is>
      </c>
      <c r="D150" s="12" t="inlineStr">
        <is>
          <t>B</t>
        </is>
      </c>
      <c r="E150" s="12" t="inlineStr">
        <is>
          <t>言語を自由に使う権利</t>
        </is>
      </c>
      <c r="F150" s="12" t="inlineStr">
        <is>
          <t>言語に関する権利を保障すること</t>
        </is>
      </c>
      <c r="G150" s="12" t="inlineStr">
        <is>
          <t>外国語教育の義務化</t>
        </is>
      </c>
      <c r="H150" s="12" t="inlineStr">
        <is>
          <t>翻訳サービス</t>
        </is>
      </c>
      <c r="I150" s="12" t="inlineStr">
        <is>
          <t>言語保障は、言語権を実現するための具体的な制度や仕組みを指します。外国人住民が言語の壁により公共サービスにアクセスできない状況を解消するため、多言語対応や「やさしい日本語」の活用などが推進されています。</t>
        </is>
      </c>
      <c r="J150" s="12" t="inlineStr">
        <is>
          <t>A：「言語を自由に使う権利」は「言語権」そのものであり、言語保障は権利を保障するための取り組みです。C：外国語教育の義務化は教育政策の一部であり、言語保障の概念全体を指すものではありません。D：翻訳サービスは言語保障の一手段ですが、言語保障はそれよりも広い概念です。</t>
        </is>
      </c>
      <c r="K150" s="12" t="inlineStr">
        <is>
          <t>教程6</t>
        </is>
      </c>
    </row>
    <row r="151" ht="50.1" customHeight="1">
      <c r="A151" s="12" t="n">
        <v>150</v>
      </c>
      <c r="B151" s="12" t="inlineStr">
        <is>
          <t>★</t>
        </is>
      </c>
      <c r="C151" s="12" t="inlineStr">
        <is>
          <t>民族語とは何か。</t>
        </is>
      </c>
      <c r="D151" s="12" t="inlineStr">
        <is>
          <t>C</t>
        </is>
      </c>
      <c r="E151" s="12" t="inlineStr">
        <is>
          <t>公用語</t>
        </is>
      </c>
      <c r="F151" s="12" t="inlineStr">
        <is>
          <t>国際共通語</t>
        </is>
      </c>
      <c r="G151" s="12" t="inlineStr">
        <is>
          <t>少数者言語</t>
        </is>
      </c>
      <c r="H151" s="12" t="inlineStr">
        <is>
          <t>方言の別名</t>
        </is>
      </c>
      <c r="I151" s="12" t="inlineStr">
        <is>
          <t>民族語は少数民族が話す言語で、多くの場合、国家の公用語や多数派言語とは異なります。世界には約7,000の言語があるとされますが、その多くは少数民族の言語であり、消滅の危機に瀕しているものも少なくありません。</t>
        </is>
      </c>
      <c r="J151" s="12" t="inlineStr">
        <is>
          <t>A：公用語は国家や地域が公式に定めた言語であり、民族語とは異なる概念です。B：国際共通語（リンガ・フランカ）は異言語話者間で使われる共通語です。D：方言は同一言語内の地域的変種であり、異なる言語である民族語とは区別されます。</t>
        </is>
      </c>
      <c r="K151" s="12" t="inlineStr">
        <is>
          <t>教程6</t>
        </is>
      </c>
    </row>
    <row r="152" ht="50.1" customHeight="1">
      <c r="A152" s="12" t="n">
        <v>151</v>
      </c>
      <c r="B152" s="12" t="inlineStr">
        <is>
          <t>★★★</t>
        </is>
      </c>
      <c r="C152" s="12" t="inlineStr">
        <is>
          <t>外国人集住都市会議設立時の自治体数はいくつか。</t>
        </is>
      </c>
      <c r="D152" s="12" t="inlineStr">
        <is>
          <t>C</t>
        </is>
      </c>
      <c r="E152" s="12" t="inlineStr">
        <is>
          <t>8</t>
        </is>
      </c>
      <c r="F152" s="12" t="inlineStr">
        <is>
          <t>11</t>
        </is>
      </c>
      <c r="G152" s="12" t="inlineStr">
        <is>
          <t>13</t>
        </is>
      </c>
      <c r="H152" s="12" t="inlineStr">
        <is>
          <t>15</t>
        </is>
      </c>
      <c r="I152" s="12" t="inlineStr">
        <is>
          <t>外国人集住都市会議は2001年に浜松市の呼びかけで設立され、当初13の自治体が参加しました。製造業が盛んな地域で日系人が集中的に居住する都市が集まり、外国人住民の教育・医療・社会保障などの課題に共同で取り組むことを目的としました。</t>
        </is>
      </c>
      <c r="J152" s="12" t="inlineStr">
        <is>
          <t>A：8自治体は正しい数ではありません。B：11自治体も正しくありません。D：15自治体でもなく、設立時は13自治体です。</t>
        </is>
      </c>
      <c r="K152" s="12" t="inlineStr">
        <is>
          <t>教程6</t>
        </is>
      </c>
    </row>
    <row r="153" ht="50.1" customHeight="1">
      <c r="A153" s="12" t="n">
        <v>152</v>
      </c>
      <c r="B153" s="12" t="inlineStr">
        <is>
          <t>★★</t>
        </is>
      </c>
      <c r="C153" s="12" t="inlineStr">
        <is>
          <t>阪神・淡路大震災で外国人の死傷者率は日本人の約何倍だったか。</t>
        </is>
      </c>
      <c r="D153" s="12" t="inlineStr">
        <is>
          <t>C</t>
        </is>
      </c>
      <c r="E153" s="12" t="inlineStr">
        <is>
          <t>同じ</t>
        </is>
      </c>
      <c r="F153" s="12" t="inlineStr">
        <is>
          <t>低かった</t>
        </is>
      </c>
      <c r="G153" s="12" t="inlineStr">
        <is>
          <t>2倍以上</t>
        </is>
      </c>
      <c r="H153" s="12" t="inlineStr">
        <is>
          <t>半分</t>
        </is>
      </c>
      <c r="I153" s="12" t="inlineStr">
        <is>
          <t>阪神・淡路大震災では外国人住民の死傷率が日本人の約2倍以上だったとされています。日本語が十分にできない外国人が災害情報を理解できず、適切な避難行動がとれなかったことが原因です。この経験が「やさしい日本語」の研究・実践のきっかけとなりました。</t>
        </is>
      </c>
      <c r="J153" s="12" t="inlineStr">
        <is>
          <t>A：外国人と日本人の死傷者率は同じではなく、外国人の方が高かったです。B：外国人の死傷者率は日本人より低かったのではなく、むしろ高かったです。D：半分でもなく、約2倍以上でした。</t>
        </is>
      </c>
      <c r="K153" s="12" t="inlineStr">
        <is>
          <t>教程6</t>
        </is>
      </c>
    </row>
    <row r="154" ht="50.1" customHeight="1">
      <c r="A154" s="12" t="n">
        <v>153</v>
      </c>
      <c r="B154" s="12" t="inlineStr">
        <is>
          <t>★★</t>
        </is>
      </c>
      <c r="C154" s="12" t="inlineStr">
        <is>
          <t>EPA看護師候補者の最大滞在期間は何年か。</t>
        </is>
      </c>
      <c r="D154" s="12" t="inlineStr">
        <is>
          <t>B</t>
        </is>
      </c>
      <c r="E154" s="12" t="inlineStr">
        <is>
          <t>2年</t>
        </is>
      </c>
      <c r="F154" s="12" t="inlineStr">
        <is>
          <t>3年</t>
        </is>
      </c>
      <c r="G154" s="12" t="inlineStr">
        <is>
          <t>4年</t>
        </is>
      </c>
      <c r="H154" s="12" t="inlineStr">
        <is>
          <t>5年</t>
        </is>
      </c>
      <c r="I154" s="12" t="inlineStr">
        <is>
          <t>EPA枠の看護師候補者は来日後3年以内に看護師国家試験に合格する必要があります。国家試験は年1回実施されるため、最大3回の受験機会があります。試験に合格すれば在留資格「特定活動」で継続就労できます。</t>
        </is>
      </c>
      <c r="J154" s="12" t="inlineStr">
        <is>
          <t>A：2年では受験機会が少なすぎます。D：5年は特定技能1号の在留上限であり、EPA看護師候補者の滞在期間ではありません。C：4年はEPA介護福祉士候補者の最大滞在期間です。</t>
        </is>
      </c>
      <c r="K154" s="12" t="inlineStr">
        <is>
          <t>教程6</t>
        </is>
      </c>
    </row>
    <row r="155" ht="50.1" customHeight="1">
      <c r="A155" s="12" t="n">
        <v>154</v>
      </c>
      <c r="B155" s="12" t="inlineStr">
        <is>
          <t>★★</t>
        </is>
      </c>
      <c r="C155" s="12" t="inlineStr">
        <is>
          <t>EPA介護福祉士候補者の最大滞在期間は何年か。</t>
        </is>
      </c>
      <c r="D155" s="12" t="inlineStr">
        <is>
          <t>C</t>
        </is>
      </c>
      <c r="E155" s="12" t="inlineStr">
        <is>
          <t>2年</t>
        </is>
      </c>
      <c r="F155" s="12" t="inlineStr">
        <is>
          <t>3年</t>
        </is>
      </c>
      <c r="G155" s="12" t="inlineStr">
        <is>
          <t>4年</t>
        </is>
      </c>
      <c r="H155" s="12" t="inlineStr">
        <is>
          <t>5年</t>
        </is>
      </c>
      <c r="I155" s="12" t="inlineStr">
        <is>
          <t>EPA介護福祉士候補者は4年間の滞在が認められています。介護福祉士の国家試験受験には3年以上の実務経験が必要なため、来日後3年の実務経験を経て4年目に国家試験を受験する形になります。</t>
        </is>
      </c>
      <c r="J155" s="12" t="inlineStr">
        <is>
          <t>A：2年では実務経験が不足し受験資格を得られません。D：5年は特定技能1号の上限であり、EPA介護福祉士候補者の滞在期間ではありません。B：3年はEPA看護師候補者の最大滞在期間です。</t>
        </is>
      </c>
      <c r="K155" s="12" t="inlineStr">
        <is>
          <t>教程6</t>
        </is>
      </c>
    </row>
    <row r="156" ht="50.1" customHeight="1">
      <c r="A156" s="12" t="n">
        <v>155</v>
      </c>
      <c r="B156" s="12" t="inlineStr">
        <is>
          <t>★★</t>
        </is>
      </c>
      <c r="C156" s="12" t="inlineStr">
        <is>
          <t>技能実習法で禁止されているのは何か。</t>
        </is>
      </c>
      <c r="D156" s="12" t="inlineStr">
        <is>
          <t>B</t>
        </is>
      </c>
      <c r="E156" s="12" t="inlineStr">
        <is>
          <t>技能移転</t>
        </is>
      </c>
      <c r="F156" s="12" t="inlineStr">
        <is>
          <t>労働力調整の手段としての実施</t>
        </is>
      </c>
      <c r="G156" s="12" t="inlineStr">
        <is>
          <t>途上国協力</t>
        </is>
      </c>
      <c r="H156" s="12" t="inlineStr">
        <is>
          <t>技術移転</t>
        </is>
      </c>
      <c r="I156" s="12" t="inlineStr">
        <is>
          <t>技能実習法（外国人の技能実習の適正な実施及び技能実習生の保護に関する法律）は、技能実習が「労働力の需給の調整の手段」として使われることを明確に禁止しています。しかし実態としては安価な労働力として利用されるケースが問題視されてきました。</t>
        </is>
      </c>
      <c r="J156" s="12" t="inlineStr">
        <is>
          <t>A：技能移転は技能実習制度の本来の目的であり、禁止されていません。C：途上国への協力（国際貢献）も制度の目的であり、禁止事項ではありません。D：技術移転も禁止されていません。禁止されているのは「労働力調整の手段としての実施」です。</t>
        </is>
      </c>
      <c r="K156" s="12" t="inlineStr">
        <is>
          <t>教程6</t>
        </is>
      </c>
    </row>
    <row r="157" ht="50.1" customHeight="1">
      <c r="A157" s="12" t="n">
        <v>156</v>
      </c>
      <c r="B157" s="12" t="inlineStr">
        <is>
          <t>★★★</t>
        </is>
      </c>
      <c r="C157" s="12" t="inlineStr">
        <is>
          <t>アジア人財資金構想の実施期間はいつか。</t>
        </is>
      </c>
      <c r="D157" s="12" t="inlineStr">
        <is>
          <t>B</t>
        </is>
      </c>
      <c r="E157" s="12" t="inlineStr">
        <is>
          <t>2000〜2005年</t>
        </is>
      </c>
      <c r="F157" s="12" t="inlineStr">
        <is>
          <t>2007〜2012年</t>
        </is>
      </c>
      <c r="G157" s="12" t="inlineStr">
        <is>
          <t>2010〜2015年</t>
        </is>
      </c>
      <c r="H157" s="12" t="inlineStr">
        <is>
          <t>2015〜2020年</t>
        </is>
      </c>
      <c r="I157" s="12" t="inlineStr">
        <is>
          <t>アジア人財資金構想は2007〜2012年の5年間、経済産業省と文部科学省の共同事業として実施されました。アジアの優秀な留学生を日本に呼び込み、日本語・ビジネス日本語教育、インターンシップ、就職支援を通じて日本企業への就職を促進する事業でした。</t>
        </is>
      </c>
      <c r="J157" s="12" t="inlineStr">
        <is>
          <t>A：2000〜2005年は実施期間ではありません。C：2010〜2015年でもありません。D：2015〜2020年でもありません。正確な実施期間は2007〜2012年です。</t>
        </is>
      </c>
      <c r="K157" s="12" t="inlineStr">
        <is>
          <t>教程6</t>
        </is>
      </c>
    </row>
    <row r="158" ht="50.1" customHeight="1">
      <c r="A158" s="12" t="n">
        <v>157</v>
      </c>
      <c r="B158" s="12" t="inlineStr">
        <is>
          <t>★★</t>
        </is>
      </c>
      <c r="C158" s="12" t="inlineStr">
        <is>
          <t>やさしい日本語が平時へ広がったのは何年代か。</t>
        </is>
      </c>
      <c r="D158" s="12" t="inlineStr">
        <is>
          <t>B</t>
        </is>
      </c>
      <c r="E158" s="12" t="inlineStr">
        <is>
          <t>1990年代</t>
        </is>
      </c>
      <c r="F158" s="12" t="inlineStr">
        <is>
          <t>2000年代</t>
        </is>
      </c>
      <c r="G158" s="12" t="inlineStr">
        <is>
          <t>2010年代</t>
        </is>
      </c>
      <c r="H158" s="12" t="inlineStr">
        <is>
          <t>2020年代</t>
        </is>
      </c>
      <c r="I158" s="12" t="inlineStr">
        <is>
          <t>やさしい日本語は1995年の阪神・淡路大震災を機に災害時の情報伝達手段として研究が始まりましたが、2000年代に入り、行政窓口での案内、生活情報の提供、地域の日本語教室など、平時のコミュニケーション手段へと活用の場が広がりました。</t>
        </is>
      </c>
      <c r="J158" s="12" t="inlineStr">
        <is>
          <t>A：1990年代は阪神・淡路大震災（1995年）を受けた研究開始の時期であり、平時への本格的な広がりは2000年代です。C：2010年代には既にかなり普及しており、広がり始めた時期とは言えません。D：2020年代も同様に、広がり始めた時期ではありません。</t>
        </is>
      </c>
      <c r="K158" s="12" t="inlineStr">
        <is>
          <t>教程6</t>
        </is>
      </c>
    </row>
    <row r="159" ht="50.1" customHeight="1">
      <c r="A159" s="12" t="n">
        <v>158</v>
      </c>
      <c r="B159" s="12" t="inlineStr">
        <is>
          <t>★★</t>
        </is>
      </c>
      <c r="C159" s="12" t="inlineStr">
        <is>
          <t>1997年のアイヌ関連法の通称は何か。</t>
        </is>
      </c>
      <c r="D159" s="12" t="inlineStr">
        <is>
          <t>B</t>
        </is>
      </c>
      <c r="E159" s="12" t="inlineStr">
        <is>
          <t>アイヌ施策推進法</t>
        </is>
      </c>
      <c r="F159" s="12" t="inlineStr">
        <is>
          <t>アイヌ文化振興法</t>
        </is>
      </c>
      <c r="G159" s="12" t="inlineStr">
        <is>
          <t>先住民族基本法</t>
        </is>
      </c>
      <c r="H159" s="12" t="inlineStr">
        <is>
          <t>民族共生法</t>
        </is>
      </c>
      <c r="I159" s="12" t="inlineStr">
        <is>
          <t>アイヌ文化振興法は1997年に制定され、それまでの「北海道旧土人保護法」（1899年制定の差別的法律）に代わるものでした。アイヌ文化の振興と伝統の普及・啓発を目的としましたが、「先住民族」としての認定には至りませんでした。</t>
        </is>
      </c>
      <c r="J159" s="12" t="inlineStr">
        <is>
          <t>A：アイヌ施策推進法は2019年の法律であり、1997年の法律ではありません。C：「先住民族基本法」という名称の法律は日本には存在しません。D：「民族共生法」という名称の法律も存在しません。</t>
        </is>
      </c>
      <c r="K159" s="12" t="inlineStr">
        <is>
          <t>教程7</t>
        </is>
      </c>
    </row>
    <row r="160" ht="50.1" customHeight="1">
      <c r="A160" s="12" t="n">
        <v>159</v>
      </c>
      <c r="B160" s="12" t="inlineStr">
        <is>
          <t>★</t>
        </is>
      </c>
      <c r="C160" s="12" t="inlineStr">
        <is>
          <t>シングリッシュとは何か。</t>
        </is>
      </c>
      <c r="D160" s="12" t="inlineStr">
        <is>
          <t>B</t>
        </is>
      </c>
      <c r="E160" s="12" t="inlineStr">
        <is>
          <t>標準イギリス英語</t>
        </is>
      </c>
      <c r="F160" s="12" t="inlineStr">
        <is>
          <t>シンガポールの混合英語</t>
        </is>
      </c>
      <c r="G160" s="12" t="inlineStr">
        <is>
          <t>インド英語</t>
        </is>
      </c>
      <c r="H160" s="12" t="inlineStr">
        <is>
          <t>オーストラリア英語</t>
        </is>
      </c>
      <c r="I160" s="12" t="inlineStr">
        <is>
          <t>シングリッシュ（Singapore + English）はシンガポールの日常会話で広く使われる英語の変種です。文末助詞「lah」「lor」などの使用、主語や冠詞の省略、声調の影響を受けた独特のイントネーションなどが特徴です。「新英語（New Englishes）」の一例でもあります。</t>
        </is>
      </c>
      <c r="J160" s="12" t="inlineStr">
        <is>
          <t>A：標準イギリス英語はイギリスの標準英語であり、シングリッシュとは異なります。C：インド英語はインドの英語変種で、シングリッシュとは別のものです。D：オーストラリア英語もシングリッシュとは異なる変種です。</t>
        </is>
      </c>
      <c r="K160" s="12" t="inlineStr">
        <is>
          <t>教程7</t>
        </is>
      </c>
    </row>
    <row r="161" ht="50.1" customHeight="1">
      <c r="A161" s="12" t="n">
        <v>160</v>
      </c>
      <c r="B161" s="12" t="inlineStr">
        <is>
          <t>★★★</t>
        </is>
      </c>
      <c r="C161" s="12" t="inlineStr">
        <is>
          <t>韓国で1970年の漢字全廃はどのような措置か。</t>
        </is>
      </c>
      <c r="D161" s="12" t="inlineStr">
        <is>
          <t>C</t>
        </is>
      </c>
      <c r="E161" s="12" t="inlineStr">
        <is>
          <t>国会決議</t>
        </is>
      </c>
      <c r="F161" s="12" t="inlineStr">
        <is>
          <t>大統領令</t>
        </is>
      </c>
      <c r="G161" s="12" t="inlineStr">
        <is>
          <t>総理大臣訓令</t>
        </is>
      </c>
      <c r="H161" s="12" t="inlineStr">
        <is>
          <t>教育省通達</t>
        </is>
      </c>
      <c r="I161" s="12" t="inlineStr">
        <is>
          <t>1970年、韓国では総理大臣訓令により公文書での漢字使用が全廃されました。ハングル専用政策は韓国のナショナリズムと結びついており、朴正煕大統領のもとで強力に推進されました。しかし1999年に金大中大統領が漢字復活を宣言するなど、その後揺り戻しもありました。</t>
        </is>
      </c>
      <c r="J161" s="12" t="inlineStr">
        <is>
          <t>A：国会決議ではなく総理大臣訓令です。B：大統領令でもありません。D：教育省通達でもなく、総理大臣訓令が正しい措置の形態です。</t>
        </is>
      </c>
      <c r="K161" s="12" t="inlineStr">
        <is>
          <t>教程7</t>
        </is>
      </c>
    </row>
    <row r="162" ht="50.1" customHeight="1">
      <c r="A162" s="12" t="n">
        <v>161</v>
      </c>
      <c r="B162" s="12" t="inlineStr">
        <is>
          <t>★★★</t>
        </is>
      </c>
      <c r="C162" s="12" t="inlineStr">
        <is>
          <t>韓国で漢字復活を宣言した大統領は誰か。</t>
        </is>
      </c>
      <c r="D162" s="12" t="inlineStr">
        <is>
          <t>B</t>
        </is>
      </c>
      <c r="E162" s="12" t="inlineStr">
        <is>
          <t>朴正煕</t>
        </is>
      </c>
      <c r="F162" s="12" t="inlineStr">
        <is>
          <t>金大中</t>
        </is>
      </c>
      <c r="G162" s="12" t="inlineStr">
        <is>
          <t>盧武鉉</t>
        </is>
      </c>
      <c r="H162" s="12" t="inlineStr">
        <is>
          <t>李明博</t>
        </is>
      </c>
      <c r="I162" s="12" t="inlineStr">
        <is>
          <t>金大中大統領は1999年に漢字復活を宣言し、道路標識や公文書での漢字併記を進めました。1970年の朴正煕政権による漢字全廃から約30年ぶりの方針転換でしたが、社会的な議論は現在も続いています。</t>
        </is>
      </c>
      <c r="J162" s="12" t="inlineStr">
        <is>
          <t>A：朴正煕（パク・チョンヒ）は漢字全廃を推進した大統領であり、復活ではありません。C：盧武鉉（ノ・ムヒョン）は漢字復活とは直接関係ありません。D：李明博（イ・ミョンバク）も漢字復活の宣言者ではありません。</t>
        </is>
      </c>
      <c r="K162" s="12" t="inlineStr">
        <is>
          <t>教程7</t>
        </is>
      </c>
    </row>
    <row r="163" ht="50.1" customHeight="1">
      <c r="A163" s="12" t="n">
        <v>162</v>
      </c>
      <c r="B163" s="12" t="inlineStr">
        <is>
          <t>★★★</t>
        </is>
      </c>
      <c r="C163" s="12" t="inlineStr">
        <is>
          <t>イギリスで外国語教育が小学校必修となった年は。</t>
        </is>
      </c>
      <c r="D163" s="12" t="inlineStr">
        <is>
          <t>C</t>
        </is>
      </c>
      <c r="E163" s="12" t="inlineStr">
        <is>
          <t>1985年</t>
        </is>
      </c>
      <c r="F163" s="12" t="inlineStr">
        <is>
          <t>2000年</t>
        </is>
      </c>
      <c r="G163" s="12" t="inlineStr">
        <is>
          <t>2014年</t>
        </is>
      </c>
      <c r="H163" s="12" t="inlineStr">
        <is>
          <t>2020年</t>
        </is>
      </c>
      <c r="I163" s="12" t="inlineStr">
        <is>
          <t>2014年のナショナルカリキュラム改訂により、イギリス（イングランド）では小学校のKey Stage 2（7〜11歳）で外国語教育が必修となりました。それまでは中等教育からの外国語教育が一般的でした。</t>
        </is>
      </c>
      <c r="J163" s="12" t="inlineStr">
        <is>
          <t>A：1985年はスワン・レポートの発表年であり、外国語必修化の年ではありません。B：2000年は外国語教育必修化の年ではありません。D：2020年も該当しません。</t>
        </is>
      </c>
      <c r="K163" s="12" t="inlineStr">
        <is>
          <t>教程7</t>
        </is>
      </c>
    </row>
    <row r="164" ht="50.1" customHeight="1">
      <c r="A164" s="12" t="n">
        <v>163</v>
      </c>
      <c r="B164" s="12" t="inlineStr">
        <is>
          <t>★★★</t>
        </is>
      </c>
      <c r="C164" s="12" t="inlineStr">
        <is>
          <t>イギリスの1960年代の移民子ども教育政策は何か。</t>
        </is>
      </c>
      <c r="D164" s="12" t="inlineStr">
        <is>
          <t>B</t>
        </is>
      </c>
      <c r="E164" s="12" t="inlineStr">
        <is>
          <t>同化主義</t>
        </is>
      </c>
      <c r="F164" s="12" t="inlineStr">
        <is>
          <t>統合主義によるESL教育</t>
        </is>
      </c>
      <c r="G164" s="12" t="inlineStr">
        <is>
          <t>多文化教育</t>
        </is>
      </c>
      <c r="H164" s="12" t="inlineStr">
        <is>
          <t>人種差別を減らす教育</t>
        </is>
      </c>
      <c r="I164" s="12" t="inlineStr">
        <is>
          <t>1960年代のイギリスでは、旧植民地からの移民が増加し、その子どもたちへの教育が課題となりました。1950年代の同化主義から移行し、1960年代は統合主義の立場からESL教育が実施されました。その後1970年頃から多文化教育へ、1980年代には反人種差別教育へと方針が変遷しました。</t>
        </is>
      </c>
      <c r="J164" s="12" t="inlineStr">
        <is>
          <t>A：同化主義は1950年代のイギリスの教育政策です。C：多文化教育は1970年頃からの政策です。D：人種差別を減らす教育（反人種差別教育/anti-racist education）は1980年代以降に注目されました。</t>
        </is>
      </c>
      <c r="K164" s="12" t="inlineStr">
        <is>
          <t>教程7</t>
        </is>
      </c>
    </row>
    <row r="165" ht="50.1" customHeight="1">
      <c r="A165" s="12" t="n">
        <v>164</v>
      </c>
      <c r="B165" s="12" t="inlineStr">
        <is>
          <t>★★</t>
        </is>
      </c>
      <c r="C165" s="12" t="inlineStr">
        <is>
          <t>多言語主義と複言語主義の違いで正しいのはどれか。</t>
        </is>
      </c>
      <c r="D165" s="12" t="inlineStr">
        <is>
          <t>B</t>
        </is>
      </c>
      <c r="E165" s="12" t="inlineStr">
        <is>
          <t>同じ意味</t>
        </is>
      </c>
      <c r="F165" s="12" t="inlineStr">
        <is>
          <t>多言語は社会、複言語は個人</t>
        </is>
      </c>
      <c r="G165" s="12" t="inlineStr">
        <is>
          <t>逆</t>
        </is>
      </c>
      <c r="H165" s="12" t="inlineStr">
        <is>
          <t>両方個人レベル</t>
        </is>
      </c>
      <c r="I165" s="12" t="inlineStr">
        <is>
          <t>多言語主義は「ある社会に複数の言語が存在する状態」を記述する概念で、複言語主義は「個人が生活の中で複数の言語を使い分ける能力・態度」を重視する概念です。CEFRは個人の複言語能力の育成を目標としており、この区別は重要です。</t>
        </is>
      </c>
      <c r="J165" s="12" t="inlineStr">
        <is>
          <t>A：多言語主義と複言語主義は同じ意味ではなく、社会レベルと個人レベルの違いがあります。C：多言語主義が個人、複言語主義が社会というのは逆です。D：両方とも個人レベルの概念というのも誤りで、多言語主義は社会レベルです。</t>
        </is>
      </c>
      <c r="K165" s="12" t="inlineStr">
        <is>
          <t>教程7</t>
        </is>
      </c>
    </row>
    <row r="166" ht="50.1" customHeight="1">
      <c r="A166" s="12" t="n">
        <v>165</v>
      </c>
      <c r="B166" s="12" t="inlineStr">
        <is>
          <t>★★★</t>
        </is>
      </c>
      <c r="C166" s="12" t="inlineStr">
        <is>
          <t>キムの異文化適応モデル（1988）の形はどれか。</t>
        </is>
      </c>
      <c r="D166" s="12" t="inlineStr">
        <is>
          <t>C</t>
        </is>
      </c>
      <c r="E166" s="12" t="inlineStr">
        <is>
          <t>U字型</t>
        </is>
      </c>
      <c r="F166" s="12" t="inlineStr">
        <is>
          <t>W字型</t>
        </is>
      </c>
      <c r="G166" s="12" t="inlineStr">
        <is>
          <t>らせん状</t>
        </is>
      </c>
      <c r="H166" s="12" t="inlineStr">
        <is>
          <t>S字型</t>
        </is>
      </c>
      <c r="I166" s="12" t="inlineStr">
        <is>
          <t>キムの異文化適応モデルは、異文化環境における適応は一直線ではなく、ストレス（不適応）と適応を繰り返しながら、全体としてはらせん状に上昇していくと主張します。Uカーブの単純な段階モデルよりも、適応の動的な過程をよく表しています。</t>
        </is>
      </c>
      <c r="J166" s="12" t="inlineStr">
        <is>
          <t>A：U字型はリスガードの異文化適応モデルの形です。B：W字型はガリホーンの再適応モデル（帰国後の適応も含む）の形です。D：S字型はイノベーション普及などの文脈で使われる曲線で、キムのモデルではありません。</t>
        </is>
      </c>
      <c r="K166" s="12" t="inlineStr">
        <is>
          <t>教程7</t>
        </is>
      </c>
    </row>
    <row r="167" ht="50.1" customHeight="1">
      <c r="A167" s="12" t="n">
        <v>166</v>
      </c>
      <c r="B167" s="12" t="inlineStr">
        <is>
          <t>★</t>
        </is>
      </c>
      <c r="C167" s="12" t="inlineStr">
        <is>
          <t>異文化適応の「共感」を意味する用語はどれか。</t>
        </is>
      </c>
      <c r="D167" s="12" t="inlineStr">
        <is>
          <t>B</t>
        </is>
      </c>
      <c r="E167" s="12" t="inlineStr">
        <is>
          <t>エポケー</t>
        </is>
      </c>
      <c r="F167" s="12" t="inlineStr">
        <is>
          <t>エンパシー</t>
        </is>
      </c>
      <c r="G167" s="12" t="inlineStr">
        <is>
          <t>アサーション</t>
        </is>
      </c>
      <c r="H167" s="12" t="inlineStr">
        <is>
          <t>トレランス</t>
        </is>
      </c>
      <c r="I167" s="12" t="inlineStr">
        <is>
          <t>エンパシーは、自分とは異なる文化的背景を持つ相手の感情や視点を理解し、共感する能力です。異文化間のコミュニケーションでは、自分の文化的枠組みを一時的に脇に置き、相手の立場から物事を見ようとする姿勢が求められます。</t>
        </is>
      </c>
      <c r="J167" s="12" t="inlineStr">
        <is>
          <t>A：エポケーは「判断留保」を意味し、自分の価値観で即座に判断せず保留することです。共感とは異なる概念です。C：アサーションは「自己主張」で、自分の考えを適切に表現することです。D：トレランスは「寛容」で、異文化の違いに耐え受容する態度です。</t>
        </is>
      </c>
      <c r="K167" s="12" t="inlineStr">
        <is>
          <t>教程7</t>
        </is>
      </c>
    </row>
    <row r="168" ht="50.1" customHeight="1">
      <c r="A168" s="12" t="n">
        <v>167</v>
      </c>
      <c r="B168" s="12" t="inlineStr">
        <is>
          <t>★★</t>
        </is>
      </c>
      <c r="C168" s="12" t="inlineStr">
        <is>
          <t>アサーティブ・コミュニケーションとは何か。</t>
        </is>
      </c>
      <c r="D168" s="12" t="inlineStr">
        <is>
          <t>B</t>
        </is>
      </c>
      <c r="E168" s="12" t="inlineStr">
        <is>
          <t>一方的主張</t>
        </is>
      </c>
      <c r="F168" s="12" t="inlineStr">
        <is>
          <t>相互尊重のコミュニケーション</t>
        </is>
      </c>
      <c r="G168" s="12" t="inlineStr">
        <is>
          <t>非言語コミュニケーション</t>
        </is>
      </c>
      <c r="H168" s="12" t="inlineStr">
        <is>
          <t>回避的コミュニケーション</t>
        </is>
      </c>
      <c r="I168" s="12" t="inlineStr">
        <is>
          <t>アサーティブ・コミュニケーションは、自分の意見や気持ちを率直に、しかし相手への配慮も持って表現する方法です。「I（アイ）メッセージ」（「私は〜と思う」）を用いて、相手を非難せず自分の立場を伝えることが特徴です。</t>
        </is>
      </c>
      <c r="J168" s="12" t="inlineStr">
        <is>
          <t>A：一方的主張はアグレッシブ（攻撃的）なコミュニケーションであり、アサーティブとは異なります。C：非言語コミュニケーションはジェスチャーや表情による伝達で、アサーティブ・コミュニケーションの定義ではありません。D：回避的コミュニケーションはパッシブ（受身的）なスタイルで、アサーティブとは正反対です。</t>
        </is>
      </c>
      <c r="K168" s="12" t="inlineStr">
        <is>
          <t>教程7</t>
        </is>
      </c>
    </row>
    <row r="169" ht="50.1" customHeight="1">
      <c r="A169" s="12" t="n">
        <v>168</v>
      </c>
      <c r="B169" s="12" t="inlineStr">
        <is>
          <t>★★</t>
        </is>
      </c>
      <c r="C169" s="12" t="inlineStr">
        <is>
          <t>トータルカルチャーとは何か。</t>
        </is>
      </c>
      <c r="D169" s="12" t="inlineStr">
        <is>
          <t>B</t>
        </is>
      </c>
      <c r="E169" s="12" t="inlineStr">
        <is>
          <t>特定グループの文化</t>
        </is>
      </c>
      <c r="F169" s="12" t="inlineStr">
        <is>
          <t>社会共通の行動様式・習慣・価値観</t>
        </is>
      </c>
      <c r="G169" s="12" t="inlineStr">
        <is>
          <t>外国文化</t>
        </is>
      </c>
      <c r="H169" s="12" t="inlineStr">
        <is>
          <t>反文化運動</t>
        </is>
      </c>
      <c r="I169" s="12" t="inlineStr">
        <is>
          <t>トータルカルチャーは、ある社会の成員の大多数が共有する文化的特徴（行動規範、価値観、慣習など）を指します。例えば日本社会における「おじぎ」の習慣や「年功序列」の価値観などがトータルカルチャーの一部です。</t>
        </is>
      </c>
      <c r="J169" s="12" t="inlineStr">
        <is>
          <t>A：特定グループの文化は「サブカルチャー」です。C：外国文化はトータルカルチャーの定義に当てはまりません。D：反文化運動は「カウンターカルチャー」であり、トータルカルチャーとは異なります。</t>
        </is>
      </c>
      <c r="K169" s="12" t="inlineStr">
        <is>
          <t>教程7</t>
        </is>
      </c>
    </row>
    <row r="170" ht="50.1" customHeight="1">
      <c r="A170" s="12" t="n">
        <v>169</v>
      </c>
      <c r="B170" s="12" t="inlineStr">
        <is>
          <t>★★</t>
        </is>
      </c>
      <c r="C170" s="12" t="inlineStr">
        <is>
          <t>サブカルチャーとは何か。</t>
        </is>
      </c>
      <c r="D170" s="12" t="inlineStr">
        <is>
          <t>B</t>
        </is>
      </c>
      <c r="E170" s="12" t="inlineStr">
        <is>
          <t>社会全体の文化</t>
        </is>
      </c>
      <c r="F170" s="12" t="inlineStr">
        <is>
          <t>特定グループの行動様式・習慣・価値観</t>
        </is>
      </c>
      <c r="G170" s="12" t="inlineStr">
        <is>
          <t>主流文化への反対</t>
        </is>
      </c>
      <c r="H170" s="12" t="inlineStr">
        <is>
          <t>外国文化</t>
        </is>
      </c>
      <c r="I170" s="12" t="inlineStr">
        <is>
          <t>サブカルチャーは、社会全体の主流文化（トータルカルチャー）に対して、特定の集団が持つ独自の文化パターンです。若者文化、オタク文化、特定の民族コミュニティの文化などがサブカルチャーの例です。主流文化に反対するわけではなく、その中で独自性を持つ文化です。</t>
        </is>
      </c>
      <c r="J170" s="12" t="inlineStr">
        <is>
          <t>A：社会全体の文化は「トータルカルチャー」です。C：主流文化への反対は「カウンターカルチャー」であり、サブカルチャーとは異なります。カウンターカルチャーは主流の価値観に意識的に対抗する文化運動です。D：外国文化はサブカルチャーの定義に当てはまりません。</t>
        </is>
      </c>
      <c r="K170" s="12" t="inlineStr">
        <is>
          <t>教程7</t>
        </is>
      </c>
    </row>
    <row r="171" ht="50.1" customHeight="1">
      <c r="A171" s="12" t="n">
        <v>170</v>
      </c>
      <c r="B171" s="12" t="inlineStr">
        <is>
          <t>★★</t>
        </is>
      </c>
      <c r="C171" s="12" t="inlineStr">
        <is>
          <t>フランス1992年憲法改正の内容は何か。</t>
        </is>
      </c>
      <c r="D171" s="12" t="inlineStr">
        <is>
          <t>B</t>
        </is>
      </c>
      <c r="E171" s="12" t="inlineStr">
        <is>
          <t>移民の権利保障</t>
        </is>
      </c>
      <c r="F171" s="12" t="inlineStr">
        <is>
          <t>「共和国の言語はフランス語」と定めた</t>
        </is>
      </c>
      <c r="G171" s="12" t="inlineStr">
        <is>
          <t>多言語主義の導入</t>
        </is>
      </c>
      <c r="H171" s="12" t="inlineStr">
        <is>
          <t>英語教育義務化</t>
        </is>
      </c>
      <c r="I171" s="12" t="inlineStr">
        <is>
          <t>1992年のマーストリヒト条約（EU設立条約）批准に合わせて行われた憲法改正で、フランス語がフランス共和国の言語であることが憲法に初めて明記されました。EU統合による英語の影響力拡大への危機感が背景にあります。その後1994年にはトゥーボン法も制定されました。</t>
        </is>
      </c>
      <c r="J171" s="12" t="inlineStr">
        <is>
          <t>A：移民の権利保障は1992年憲法改正の主な内容ではありません。C：多言語主義の導入ではなく、むしろフランス語の地位を明確化するものでした。D：英語教育義務化は1992年の憲法改正の内容とは正反対です。</t>
        </is>
      </c>
      <c r="K171" s="12" t="inlineStr">
        <is>
          <t>教程7</t>
        </is>
      </c>
    </row>
    <row r="172" ht="50.1" customHeight="1">
      <c r="A172" s="12" t="n">
        <v>171</v>
      </c>
      <c r="B172" s="12" t="inlineStr">
        <is>
          <t>★★★</t>
        </is>
      </c>
      <c r="C172" s="12" t="inlineStr">
        <is>
          <t>中国の簡体字の総数はいくつか。</t>
        </is>
      </c>
      <c r="D172" s="12" t="inlineStr">
        <is>
          <t>B</t>
        </is>
      </c>
      <c r="E172" s="12" t="inlineStr">
        <is>
          <t>1,235字</t>
        </is>
      </c>
      <c r="F172" s="12" t="inlineStr">
        <is>
          <t>2,235字</t>
        </is>
      </c>
      <c r="G172" s="12" t="inlineStr">
        <is>
          <t>3,235字</t>
        </is>
      </c>
      <c r="H172" s="12" t="inlineStr">
        <is>
          <t>5,000字</t>
        </is>
      </c>
      <c r="I172" s="12" t="inlineStr">
        <is>
          <t>中国の簡体字は1964年の「簡化字総表」に2,235字がまとめられています。この字数は第1表（352字）、第2表（132字）、第3表（1,751字：第1・2表の偏旁を応用した簡体字）の合計です。日本の常用漢字とは異なる簡略化がされているものも多くあります。</t>
        </is>
      </c>
      <c r="J172" s="12" t="inlineStr">
        <is>
          <t>A：1,235字は正しい数ではありません。C：3,235字は実際の数より多すぎます。D：5,000字は簡体字の総数ではありません。</t>
        </is>
      </c>
      <c r="K172" s="12" t="inlineStr">
        <is>
          <t>教程7</t>
        </is>
      </c>
    </row>
    <row r="173" ht="50.1" customHeight="1">
      <c r="A173" s="12" t="n">
        <v>172</v>
      </c>
      <c r="B173" s="12" t="inlineStr">
        <is>
          <t>★</t>
        </is>
      </c>
      <c r="C173" s="12" t="inlineStr">
        <is>
          <t>自己開示とは何か。</t>
        </is>
      </c>
      <c r="D173" s="12" t="inlineStr">
        <is>
          <t>B</t>
        </is>
      </c>
      <c r="E173" s="12" t="inlineStr">
        <is>
          <t>他者の情報公開</t>
        </is>
      </c>
      <c r="F173" s="12" t="inlineStr">
        <is>
          <t>自分のことを相手に伝えること</t>
        </is>
      </c>
      <c r="G173" s="12" t="inlineStr">
        <is>
          <t>秘密暴露</t>
        </is>
      </c>
      <c r="H173" s="12" t="inlineStr">
        <is>
          <t>文化の違いを指摘</t>
        </is>
      </c>
      <c r="I173" s="12" t="inlineStr">
        <is>
          <t>自己開示（self-disclosure）は、自分のことを相手に積極的に伝えることで、相互理解と信頼関係の構築につながります。異文化間のコミュニケーションでは、自己開示の程度やタイミングが文化によって異なることも重要なポイントです。</t>
        </is>
      </c>
      <c r="J173" s="12" t="inlineStr">
        <is>
          <t>A：他者の情報公開は自己開示ではありません。C：秘密暴露は自己開示の目的とは異なります。自己開示はプライバシーの暴露ではなく、自発的な情報共有です。D：文化の違いを指摘することは自己開示ではありません。</t>
        </is>
      </c>
      <c r="K173" s="12" t="inlineStr">
        <is>
          <t>教程7</t>
        </is>
      </c>
    </row>
    <row r="174" ht="50.1" customHeight="1">
      <c r="A174" s="12" t="n">
        <v>173</v>
      </c>
      <c r="B174" s="12" t="inlineStr">
        <is>
          <t>★★</t>
        </is>
      </c>
      <c r="C174" s="12" t="inlineStr">
        <is>
          <t>異文化間能力の3要素はどれか。</t>
        </is>
      </c>
      <c r="D174" s="12" t="inlineStr">
        <is>
          <t>B</t>
        </is>
      </c>
      <c r="E174" s="12" t="inlineStr">
        <is>
          <t>知識・技能・態度</t>
        </is>
      </c>
      <c r="F174" s="12" t="inlineStr">
        <is>
          <t>気づき・知識・行動</t>
        </is>
      </c>
      <c r="G174" s="12" t="inlineStr">
        <is>
          <t>理解・共感・適応</t>
        </is>
      </c>
      <c r="H174" s="12" t="inlineStr">
        <is>
          <t>聞く・話す・読む</t>
        </is>
      </c>
      <c r="I174" s="12" t="inlineStr">
        <is>
          <t>異文化間能力は①気づき（自他の文化的違いを認識する力）、②知識（異文化に関する具体的な知識）、③行動（異文化場面で適切に振る舞う技能）の3要素で構成されます。この3要素は相互に関連し合い、バランスよく育成されることが重要です。</t>
        </is>
      </c>
      <c r="J174" s="12" t="inlineStr">
        <is>
          <t>A：「知識・技能・態度」は教育一般で使われる3要素ですが、異文化間能力の3要素としては「気づき・知識・行動」が正確です。C：「理解・共感・適応」は異文化適応のプロセスに関連する概念ですが、異文化間能力の3要素としては正確ではありません。D：「聞く・話す・読む」は言語技能であり、異文化間能力の要素ではありません。</t>
        </is>
      </c>
      <c r="K174" s="12" t="inlineStr">
        <is>
          <t>教程7</t>
        </is>
      </c>
    </row>
    <row r="175" ht="50.1" customHeight="1">
      <c r="A175" s="12" t="n">
        <v>174</v>
      </c>
      <c r="B175" s="12" t="inlineStr">
        <is>
          <t>★★</t>
        </is>
      </c>
      <c r="C175" s="12" t="inlineStr">
        <is>
          <t>言語景観は何方向のコミュニケーションか。</t>
        </is>
      </c>
      <c r="D175" s="12" t="inlineStr">
        <is>
          <t>B</t>
        </is>
      </c>
      <c r="E175" s="12" t="inlineStr">
        <is>
          <t>双方向</t>
        </is>
      </c>
      <c r="F175" s="12" t="inlineStr">
        <is>
          <t>一方通行</t>
        </is>
      </c>
      <c r="G175" s="12" t="inlineStr">
        <is>
          <t>多方向</t>
        </is>
      </c>
      <c r="H175" s="12" t="inlineStr">
        <is>
          <t>相互的</t>
        </is>
      </c>
      <c r="I175" s="12" t="inlineStr">
        <is>
          <t>言語景観は看板・標識・掲示物という固定的な媒体を通じた情報発信であるため、掲示者から閲覧者への一方向的なコミュニケーションです。対面会話のような双方向的やりとりは成立しません。</t>
        </is>
      </c>
      <c r="J175" s="12" t="inlineStr">
        <is>
          <t>A：双方向のコミュニケーションではなく、看板から見る人への一方通行です。C：多方向でもなく、掲示者→閲覧者の一方向です。D：相互的なやりとりは看板・標識では成立しません。</t>
        </is>
      </c>
      <c r="K175" s="12" t="inlineStr">
        <is>
          <t>教程7</t>
        </is>
      </c>
    </row>
    <row r="176" ht="50.1" customHeight="1">
      <c r="A176" s="12" t="n">
        <v>175</v>
      </c>
      <c r="B176" s="12" t="inlineStr">
        <is>
          <t>★</t>
        </is>
      </c>
      <c r="C176" s="12" t="inlineStr">
        <is>
          <t>日本語教育所管の文部科学省移管は何年度か。</t>
        </is>
      </c>
      <c r="D176" s="12" t="inlineStr">
        <is>
          <t>C</t>
        </is>
      </c>
      <c r="E176" s="12" t="inlineStr">
        <is>
          <t>2022年度</t>
        </is>
      </c>
      <c r="F176" s="12" t="inlineStr">
        <is>
          <t>2023年度</t>
        </is>
      </c>
      <c r="G176" s="12" t="inlineStr">
        <is>
          <t>2024年度</t>
        </is>
      </c>
      <c r="H176" s="12" t="inlineStr">
        <is>
          <t>2025年度</t>
        </is>
      </c>
      <c r="I176" s="12" t="inlineStr">
        <is>
          <t>2024年度から日本語教育の所管が文化庁（文化審議会国語分科会）から文部科学省（総合教育政策局）に移管されました。2023年の日本語教育機関認定法の施行に伴い、日本語教育機関の認定や登録日本語教員の制度を文部科学省が一元的に管轄するようになりました。</t>
        </is>
      </c>
      <c r="J176" s="12" t="inlineStr">
        <is>
          <t>A：2022年度は移管年度ではありません。B：2023年度も移管年度ではありません。D：2025年度でもなく、2024年度が正しい移管年度です。</t>
        </is>
      </c>
      <c r="K176" s="12" t="inlineStr">
        <is>
          <t>教程1</t>
        </is>
      </c>
    </row>
    <row r="177" ht="50.1" customHeight="1">
      <c r="A177" s="12" t="n">
        <v>176</v>
      </c>
      <c r="B177" s="12" t="inlineStr">
        <is>
          <t>★★★</t>
        </is>
      </c>
      <c r="C177" s="12" t="inlineStr">
        <is>
          <t>大出正篤の速成式教材の名称は何か。</t>
        </is>
      </c>
      <c r="D177" s="12" t="inlineStr">
        <is>
          <t>B</t>
        </is>
      </c>
      <c r="E177" s="12" t="inlineStr">
        <is>
          <t>日本語読本</t>
        </is>
      </c>
      <c r="F177" s="12" t="inlineStr">
        <is>
          <t>効果的速成式標準日本語読本</t>
        </is>
      </c>
      <c r="G177" s="12" t="inlineStr">
        <is>
          <t>初級日本語</t>
        </is>
      </c>
      <c r="H177" s="12" t="inlineStr">
        <is>
          <t>日本語基礎</t>
        </is>
      </c>
      <c r="I177" s="12" t="inlineStr">
        <is>
          <t>大出正篤は満州国で日本語教育に携わり、「効果的速成式標準日本語読本」を開発しました。この教材は短期間での日本語習得を目指したもので、速成式という名が示すように、効率的な日本語教育を追求した教材です。</t>
        </is>
      </c>
      <c r="J177" s="12" t="inlineStr">
        <is>
          <t>A：「日本語読本」は一般的な名称であり、大出の教材の正確な名称ではありません。C：「初級日本語」も大出の教材名ではありません。D：「日本語基礎」も該当しません。</t>
        </is>
      </c>
      <c r="K177" s="12" t="inlineStr">
        <is>
          <t>教程3</t>
        </is>
      </c>
    </row>
    <row r="178" ht="50.1" customHeight="1">
      <c r="A178" s="12" t="n">
        <v>177</v>
      </c>
      <c r="B178" s="12" t="inlineStr">
        <is>
          <t>★★★</t>
        </is>
      </c>
      <c r="C178" s="12" t="inlineStr">
        <is>
          <t>1896年の台湾の日本語教育規則は何か。</t>
        </is>
      </c>
      <c r="D178" s="12" t="inlineStr">
        <is>
          <t>B</t>
        </is>
      </c>
      <c r="E178" s="12" t="inlineStr">
        <is>
          <t>公学校規則</t>
        </is>
      </c>
      <c r="F178" s="12" t="inlineStr">
        <is>
          <t>国語伝習所規則</t>
        </is>
      </c>
      <c r="G178" s="12" t="inlineStr">
        <is>
          <t>国民学校令</t>
        </is>
      </c>
      <c r="H178" s="12" t="inlineStr">
        <is>
          <t>教育令</t>
        </is>
      </c>
      <c r="I178" s="12" t="inlineStr">
        <is>
          <t>国語伝習所規則は1896年に制定され、台湾全島に国語伝習所が設置されました。伊沢修二の芝山巌学堂（1895年）の理念を引き継ぎ、より体系的な日本語教育を展開するためのものでした。1898年に公学校制度に移行しました。</t>
        </is>
      </c>
      <c r="J178" s="12" t="inlineStr">
        <is>
          <t>A：公学校規則は1898年に制定されたもので、国語伝習所規則の後に施行されました。C：国民学校令は1941年に日本本土で施行された教育制度です。D：教育令は朝鮮半島の教育制度に関するものです。</t>
        </is>
      </c>
      <c r="K178" s="12" t="inlineStr">
        <is>
          <t>教程3</t>
        </is>
      </c>
    </row>
    <row r="179" ht="50.1" customHeight="1">
      <c r="A179" s="12" t="n">
        <v>178</v>
      </c>
      <c r="B179" s="12" t="inlineStr">
        <is>
          <t>★★</t>
        </is>
      </c>
      <c r="C179" s="12" t="inlineStr">
        <is>
          <t>ポリグロシアとは何か。</t>
        </is>
      </c>
      <c r="D179" s="12" t="inlineStr">
        <is>
          <t>B</t>
        </is>
      </c>
      <c r="E179" s="12" t="inlineStr">
        <is>
          <t>二重言語併用</t>
        </is>
      </c>
      <c r="F179" s="12" t="inlineStr">
        <is>
          <t>多重言語併用</t>
        </is>
      </c>
      <c r="G179" s="12" t="inlineStr">
        <is>
          <t>一言語使用</t>
        </is>
      </c>
      <c r="H179" s="12" t="inlineStr">
        <is>
          <t>言語消滅</t>
        </is>
      </c>
      <c r="I179" s="12" t="inlineStr">
        <is>
          <t>ポリグロシアは、ファスールド（Fasold）がダイグロシアの概念を拡張して提唱したもので、3つ以上の言語変種が機能的に使い分けられている社会状況を指します。シンガポールのように4つの公用語が存在する社会などが典型例です。</t>
        </is>
      </c>
      <c r="J179" s="12" t="inlineStr">
        <is>
          <t>A：二重言語併用は「ダイグロシア」であり、ポリグロシアとは異なります。C：一言語使用はモノリンガリズムであり、ポリグロシアとは正反対です。D：言語消滅は言語が話者を失って消えることで、ポリグロシアとは関係ありません。</t>
        </is>
      </c>
      <c r="K179" s="12" t="inlineStr">
        <is>
          <t>教程4</t>
        </is>
      </c>
    </row>
    <row r="180" ht="50.1" customHeight="1">
      <c r="A180" s="12" t="n">
        <v>179</v>
      </c>
      <c r="B180" s="12" t="inlineStr">
        <is>
          <t>★★</t>
        </is>
      </c>
      <c r="C180" s="12" t="inlineStr">
        <is>
          <t>位相語とは何か。</t>
        </is>
      </c>
      <c r="D180" s="12" t="inlineStr">
        <is>
          <t>B</t>
        </is>
      </c>
      <c r="E180" s="12" t="inlineStr">
        <is>
          <t>地域の言語差</t>
        </is>
      </c>
      <c r="F180" s="12" t="inlineStr">
        <is>
          <t>社会的立場による言語の違い</t>
        </is>
      </c>
      <c r="G180" s="12" t="inlineStr">
        <is>
          <t>外来語</t>
        </is>
      </c>
      <c r="H180" s="12" t="inlineStr">
        <is>
          <t>古語</t>
        </is>
      </c>
      <c r="I180" s="12" t="inlineStr">
        <is>
          <t>位相語は社会的な要因（性別・年齢・職業・階層など）によって異なる言語使用を指します。例えば、医師が使う専門用語、若者特有のスラング、性別による言葉遣いの違いなどが位相語に該当します。</t>
        </is>
      </c>
      <c r="J180" s="12" t="inlineStr">
        <is>
          <t>A：地域の言語差は「地域方言」であり、位相語とは異なります。位相語は社会的立場による違いです。C：外来語は他言語から借用された語彙で、社会的立場による使い分けとは別の概念です。D：古語は歴史的に古い言葉で、現代の社会的立場とは関係ありません。</t>
        </is>
      </c>
      <c r="K180" s="12" t="inlineStr">
        <is>
          <t>教程4</t>
        </is>
      </c>
    </row>
    <row r="181" ht="50.1" customHeight="1">
      <c r="A181" s="12" t="n">
        <v>180</v>
      </c>
      <c r="B181" s="12" t="inlineStr">
        <is>
          <t>★★</t>
        </is>
      </c>
      <c r="C181" s="12" t="inlineStr">
        <is>
          <t>JFにほんごネットワークの通称は何か。</t>
        </is>
      </c>
      <c r="D181" s="12" t="inlineStr">
        <is>
          <t>A</t>
        </is>
      </c>
      <c r="E181" s="12" t="inlineStr">
        <is>
          <t>さくらネットワーク</t>
        </is>
      </c>
      <c r="F181" s="12" t="inlineStr">
        <is>
          <t>ひまわりネットワーク</t>
        </is>
      </c>
      <c r="G181" s="12" t="inlineStr">
        <is>
          <t>つばきネットワーク</t>
        </is>
      </c>
      <c r="H181" s="12" t="inlineStr">
        <is>
          <t>あおいネットワーク</t>
        </is>
      </c>
      <c r="I181" s="12" t="inlineStr">
        <is>
          <t>さくらネットワークは国際交流基金が世界各地の日本語教育機関と連携して構築したネットワークです。教材開発、教師研修、イベント開催などを通じて海外の日本語教育を支援しています。「さくら」の名は日本を象徴する花に由来します。</t>
        </is>
      </c>
      <c r="J181" s="12" t="inlineStr">
        <is>
          <t>B：「ひまわりネットワーク」はさくらネットワークの通称ではありません。C：「つばきネットワーク」も該当しません。D：「あおいネットワーク」も該当しません。</t>
        </is>
      </c>
      <c r="K181" s="12" t="inlineStr">
        <is>
          <t>教程3</t>
        </is>
      </c>
    </row>
    <row r="182" ht="50.1" customHeight="1">
      <c r="A182" s="12" t="n">
        <v>181</v>
      </c>
      <c r="B182" s="12" t="inlineStr">
        <is>
          <t>★</t>
        </is>
      </c>
      <c r="C182" s="12" t="inlineStr">
        <is>
          <t>特定技能は全部で何分野か（2024年度追加後）。</t>
        </is>
      </c>
      <c r="D182" s="12" t="inlineStr">
        <is>
          <t>C</t>
        </is>
      </c>
      <c r="E182" s="12" t="inlineStr">
        <is>
          <t>12</t>
        </is>
      </c>
      <c r="F182" s="12" t="inlineStr">
        <is>
          <t>14</t>
        </is>
      </c>
      <c r="G182" s="12" t="inlineStr">
        <is>
          <t>16</t>
        </is>
      </c>
      <c r="H182" s="12" t="inlineStr">
        <is>
          <t>18</t>
        </is>
      </c>
      <c r="I182" s="12" t="inlineStr">
        <is>
          <t>2024年の閣議決定により特定技能の受入れ対象が12分野から16分野に拡大されました。新たに追加された4分野（自動車運送業・鉄道・林業・木材産業）はいずれも深刻な人手不足が確認されている分野です。また、受入れ見込み数の上限も大幅に引き上げられました。</t>
        </is>
      </c>
      <c r="J182" s="12" t="inlineStr">
        <is>
          <t>A：12分野は2024年度追加前の分野数です。B：14分野は正しい数ではありません。D：18分野でもなく、16分野が正確な数です。</t>
        </is>
      </c>
      <c r="K182" s="12" t="inlineStr">
        <is>
          <t>教程2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8"/>
  <sheetViews>
    <sheetView workbookViewId="0">
      <selection activeCell="A1" sqref="A1"/>
    </sheetView>
  </sheetViews>
  <sheetFormatPr baseColWidth="8" defaultRowHeight="13.5"/>
  <sheetData>
    <row r="1" ht="15" customHeight="1">
      <c r="A1" s="11" t="inlineStr">
        <is>
          <t>タイトル</t>
        </is>
      </c>
      <c r="B1" t="inlineStr">
        <is>
          <t>20260627_科目3_社会文化地域_言語と社会_問題_v1</t>
        </is>
      </c>
    </row>
    <row r="2" ht="15" customHeight="1">
      <c r="A2" s="11" t="inlineStr">
        <is>
          <t>総問題数</t>
        </is>
      </c>
      <c r="B2" t="n">
        <v>181</v>
      </c>
    </row>
    <row r="3" ht="15" customHeight="1">
      <c r="A3" s="11" t="inlineStr">
        <is>
          <t>★ 初級</t>
        </is>
      </c>
      <c r="B3" t="n">
        <v>60</v>
      </c>
    </row>
    <row r="4" ht="15" customHeight="1">
      <c r="A4" s="11" t="inlineStr">
        <is>
          <t>★★ 中級</t>
        </is>
      </c>
      <c r="B4" t="n">
        <v>86</v>
      </c>
    </row>
    <row r="5" ht="15" customHeight="1">
      <c r="A5" s="11" t="inlineStr">
        <is>
          <t>★★★ 上級</t>
        </is>
      </c>
      <c r="B5" t="n">
        <v>35</v>
      </c>
    </row>
    <row r="7" ht="15" customHeight="1">
      <c r="A7" s="11" t="inlineStr">
        <is>
          <t>No</t>
        </is>
      </c>
      <c r="B7" s="11" t="inlineStr">
        <is>
          <t>正解</t>
        </is>
      </c>
    </row>
    <row r="8">
      <c r="A8" t="n">
        <v>1</v>
      </c>
      <c r="B8" t="inlineStr">
        <is>
          <t>C</t>
        </is>
      </c>
    </row>
    <row r="9">
      <c r="A9" t="n">
        <v>2</v>
      </c>
      <c r="B9" t="inlineStr">
        <is>
          <t>C</t>
        </is>
      </c>
    </row>
    <row r="10">
      <c r="A10" t="n">
        <v>3</v>
      </c>
      <c r="B10" t="inlineStr">
        <is>
          <t>C</t>
        </is>
      </c>
    </row>
    <row r="11">
      <c r="A11" t="n">
        <v>4</v>
      </c>
      <c r="B11" t="inlineStr">
        <is>
          <t>A</t>
        </is>
      </c>
    </row>
    <row r="12">
      <c r="A12" t="n">
        <v>5</v>
      </c>
      <c r="B12" t="inlineStr">
        <is>
          <t>B</t>
        </is>
      </c>
    </row>
    <row r="13">
      <c r="A13" t="n">
        <v>6</v>
      </c>
      <c r="B13" t="inlineStr">
        <is>
          <t>C</t>
        </is>
      </c>
    </row>
    <row r="14">
      <c r="A14" t="n">
        <v>7</v>
      </c>
      <c r="B14" t="inlineStr">
        <is>
          <t>C</t>
        </is>
      </c>
    </row>
    <row r="15">
      <c r="A15" t="n">
        <v>8</v>
      </c>
      <c r="B15" t="inlineStr">
        <is>
          <t>C</t>
        </is>
      </c>
    </row>
    <row r="16">
      <c r="A16" t="n">
        <v>9</v>
      </c>
      <c r="B16" t="inlineStr">
        <is>
          <t>B</t>
        </is>
      </c>
    </row>
    <row r="17">
      <c r="A17" t="n">
        <v>10</v>
      </c>
      <c r="B17" t="inlineStr">
        <is>
          <t>B</t>
        </is>
      </c>
    </row>
    <row r="18">
      <c r="A18" t="n">
        <v>11</v>
      </c>
      <c r="B18" t="inlineStr">
        <is>
          <t>C</t>
        </is>
      </c>
    </row>
    <row r="19">
      <c r="A19" t="n">
        <v>12</v>
      </c>
      <c r="B19" t="inlineStr">
        <is>
          <t>B</t>
        </is>
      </c>
    </row>
    <row r="20">
      <c r="A20" t="n">
        <v>13</v>
      </c>
      <c r="B20" t="inlineStr">
        <is>
          <t>C</t>
        </is>
      </c>
    </row>
    <row r="21">
      <c r="A21" t="n">
        <v>14</v>
      </c>
      <c r="B21" t="inlineStr">
        <is>
          <t>B</t>
        </is>
      </c>
    </row>
    <row r="22">
      <c r="A22" t="n">
        <v>15</v>
      </c>
      <c r="B22" t="inlineStr">
        <is>
          <t>B</t>
        </is>
      </c>
    </row>
    <row r="23">
      <c r="A23" t="n">
        <v>16</v>
      </c>
      <c r="B23" t="inlineStr">
        <is>
          <t>D</t>
        </is>
      </c>
    </row>
    <row r="24">
      <c r="A24" t="n">
        <v>17</v>
      </c>
      <c r="B24" t="inlineStr">
        <is>
          <t>C</t>
        </is>
      </c>
    </row>
    <row r="25">
      <c r="A25" t="n">
        <v>18</v>
      </c>
      <c r="B25" t="inlineStr">
        <is>
          <t>B</t>
        </is>
      </c>
    </row>
    <row r="26">
      <c r="A26" t="n">
        <v>19</v>
      </c>
      <c r="B26" t="inlineStr">
        <is>
          <t>C</t>
        </is>
      </c>
    </row>
    <row r="27">
      <c r="A27" t="n">
        <v>20</v>
      </c>
      <c r="B27" t="inlineStr">
        <is>
          <t>C</t>
        </is>
      </c>
    </row>
    <row r="28">
      <c r="A28" t="n">
        <v>21</v>
      </c>
      <c r="B28" t="inlineStr">
        <is>
          <t>B</t>
        </is>
      </c>
    </row>
    <row r="29">
      <c r="A29" t="n">
        <v>22</v>
      </c>
      <c r="B29" t="inlineStr">
        <is>
          <t>B</t>
        </is>
      </c>
    </row>
    <row r="30">
      <c r="A30" t="n">
        <v>23</v>
      </c>
      <c r="B30" t="inlineStr">
        <is>
          <t>C</t>
        </is>
      </c>
    </row>
    <row r="31">
      <c r="A31" t="n">
        <v>24</v>
      </c>
      <c r="B31" t="inlineStr">
        <is>
          <t>C</t>
        </is>
      </c>
    </row>
    <row r="32">
      <c r="A32" t="n">
        <v>25</v>
      </c>
      <c r="B32" t="inlineStr">
        <is>
          <t>D</t>
        </is>
      </c>
    </row>
    <row r="33">
      <c r="A33" t="n">
        <v>26</v>
      </c>
      <c r="B33" t="inlineStr">
        <is>
          <t>B</t>
        </is>
      </c>
    </row>
    <row r="34">
      <c r="A34" t="n">
        <v>27</v>
      </c>
      <c r="B34" t="inlineStr">
        <is>
          <t>C</t>
        </is>
      </c>
    </row>
    <row r="35">
      <c r="A35" t="n">
        <v>28</v>
      </c>
      <c r="B35" t="inlineStr">
        <is>
          <t>B</t>
        </is>
      </c>
    </row>
    <row r="36">
      <c r="A36" t="n">
        <v>29</v>
      </c>
      <c r="B36" t="inlineStr">
        <is>
          <t>B</t>
        </is>
      </c>
    </row>
    <row r="37">
      <c r="A37" t="n">
        <v>30</v>
      </c>
      <c r="B37" t="inlineStr">
        <is>
          <t>B</t>
        </is>
      </c>
    </row>
    <row r="38">
      <c r="A38" t="n">
        <v>31</v>
      </c>
      <c r="B38" t="inlineStr">
        <is>
          <t>C</t>
        </is>
      </c>
    </row>
    <row r="39">
      <c r="A39" t="n">
        <v>32</v>
      </c>
      <c r="B39" t="inlineStr">
        <is>
          <t>C</t>
        </is>
      </c>
    </row>
    <row r="40">
      <c r="A40" t="n">
        <v>33</v>
      </c>
      <c r="B40" t="inlineStr">
        <is>
          <t>B</t>
        </is>
      </c>
    </row>
    <row r="41">
      <c r="A41" t="n">
        <v>34</v>
      </c>
      <c r="B41" t="inlineStr">
        <is>
          <t>B</t>
        </is>
      </c>
    </row>
    <row r="42">
      <c r="A42" t="n">
        <v>35</v>
      </c>
      <c r="B42" t="inlineStr">
        <is>
          <t>B</t>
        </is>
      </c>
    </row>
    <row r="43">
      <c r="A43" t="n">
        <v>36</v>
      </c>
      <c r="B43" t="inlineStr">
        <is>
          <t>B</t>
        </is>
      </c>
    </row>
    <row r="44">
      <c r="A44" t="n">
        <v>37</v>
      </c>
      <c r="B44" t="inlineStr">
        <is>
          <t>B</t>
        </is>
      </c>
    </row>
    <row r="45">
      <c r="A45" t="n">
        <v>38</v>
      </c>
      <c r="B45" t="inlineStr">
        <is>
          <t>C</t>
        </is>
      </c>
    </row>
    <row r="46">
      <c r="A46" t="n">
        <v>39</v>
      </c>
      <c r="B46" t="inlineStr">
        <is>
          <t>B</t>
        </is>
      </c>
    </row>
    <row r="47">
      <c r="A47" t="n">
        <v>40</v>
      </c>
      <c r="B47" t="inlineStr">
        <is>
          <t>C</t>
        </is>
      </c>
    </row>
    <row r="48">
      <c r="A48" t="n">
        <v>41</v>
      </c>
      <c r="B48" t="inlineStr">
        <is>
          <t>C</t>
        </is>
      </c>
    </row>
    <row r="49">
      <c r="A49" t="n">
        <v>42</v>
      </c>
      <c r="B49" t="inlineStr">
        <is>
          <t>C</t>
        </is>
      </c>
    </row>
    <row r="50">
      <c r="A50" t="n">
        <v>43</v>
      </c>
      <c r="B50" t="inlineStr">
        <is>
          <t>B</t>
        </is>
      </c>
    </row>
    <row r="51">
      <c r="A51" t="n">
        <v>44</v>
      </c>
      <c r="B51" t="inlineStr">
        <is>
          <t>C</t>
        </is>
      </c>
    </row>
    <row r="52">
      <c r="A52" t="n">
        <v>45</v>
      </c>
      <c r="B52" t="inlineStr">
        <is>
          <t>C</t>
        </is>
      </c>
    </row>
    <row r="53">
      <c r="A53" t="n">
        <v>46</v>
      </c>
      <c r="B53" t="inlineStr">
        <is>
          <t>C</t>
        </is>
      </c>
    </row>
    <row r="54">
      <c r="A54" t="n">
        <v>47</v>
      </c>
      <c r="B54" t="inlineStr">
        <is>
          <t>B</t>
        </is>
      </c>
    </row>
    <row r="55">
      <c r="A55" t="n">
        <v>48</v>
      </c>
      <c r="B55" t="inlineStr">
        <is>
          <t>A</t>
        </is>
      </c>
    </row>
    <row r="56">
      <c r="A56" t="n">
        <v>49</v>
      </c>
      <c r="B56" t="inlineStr">
        <is>
          <t>C</t>
        </is>
      </c>
    </row>
    <row r="57">
      <c r="A57" t="n">
        <v>50</v>
      </c>
      <c r="B57" t="inlineStr">
        <is>
          <t>C</t>
        </is>
      </c>
    </row>
    <row r="58">
      <c r="A58" t="n">
        <v>51</v>
      </c>
      <c r="B58" t="inlineStr">
        <is>
          <t>B</t>
        </is>
      </c>
    </row>
    <row r="59">
      <c r="A59" t="n">
        <v>52</v>
      </c>
      <c r="B59" t="inlineStr">
        <is>
          <t>C</t>
        </is>
      </c>
    </row>
    <row r="60">
      <c r="A60" t="n">
        <v>53</v>
      </c>
      <c r="B60" t="inlineStr">
        <is>
          <t>D</t>
        </is>
      </c>
    </row>
    <row r="61">
      <c r="A61" t="n">
        <v>54</v>
      </c>
      <c r="B61" t="inlineStr">
        <is>
          <t>B</t>
        </is>
      </c>
    </row>
    <row r="62">
      <c r="A62" t="n">
        <v>55</v>
      </c>
      <c r="B62" t="inlineStr">
        <is>
          <t>B</t>
        </is>
      </c>
    </row>
    <row r="63">
      <c r="A63" t="n">
        <v>56</v>
      </c>
      <c r="B63" t="inlineStr">
        <is>
          <t>B</t>
        </is>
      </c>
    </row>
    <row r="64">
      <c r="A64" t="n">
        <v>57</v>
      </c>
      <c r="B64" t="inlineStr">
        <is>
          <t>C</t>
        </is>
      </c>
    </row>
    <row r="65">
      <c r="A65" t="n">
        <v>58</v>
      </c>
      <c r="B65" t="inlineStr">
        <is>
          <t>B</t>
        </is>
      </c>
    </row>
    <row r="66">
      <c r="A66" t="n">
        <v>59</v>
      </c>
      <c r="B66" t="inlineStr">
        <is>
          <t>B</t>
        </is>
      </c>
    </row>
    <row r="67">
      <c r="A67" t="n">
        <v>60</v>
      </c>
      <c r="B67" t="inlineStr">
        <is>
          <t>B</t>
        </is>
      </c>
    </row>
    <row r="68">
      <c r="A68" t="n">
        <v>61</v>
      </c>
      <c r="B68" t="inlineStr">
        <is>
          <t>B</t>
        </is>
      </c>
    </row>
    <row r="69">
      <c r="A69" t="n">
        <v>62</v>
      </c>
      <c r="B69" t="inlineStr">
        <is>
          <t>B</t>
        </is>
      </c>
    </row>
    <row r="70">
      <c r="A70" t="n">
        <v>63</v>
      </c>
      <c r="B70" t="inlineStr">
        <is>
          <t>B</t>
        </is>
      </c>
    </row>
    <row r="71">
      <c r="A71" t="n">
        <v>64</v>
      </c>
      <c r="B71" t="inlineStr">
        <is>
          <t>B</t>
        </is>
      </c>
    </row>
    <row r="72">
      <c r="A72" t="n">
        <v>65</v>
      </c>
      <c r="B72" t="inlineStr">
        <is>
          <t>A</t>
        </is>
      </c>
    </row>
    <row r="73">
      <c r="A73" t="n">
        <v>66</v>
      </c>
      <c r="B73" t="inlineStr">
        <is>
          <t>B</t>
        </is>
      </c>
    </row>
    <row r="74">
      <c r="A74" t="n">
        <v>67</v>
      </c>
      <c r="B74" t="inlineStr">
        <is>
          <t>B</t>
        </is>
      </c>
    </row>
    <row r="75">
      <c r="A75" t="n">
        <v>68</v>
      </c>
      <c r="B75" t="inlineStr">
        <is>
          <t>B</t>
        </is>
      </c>
    </row>
    <row r="76">
      <c r="A76" t="n">
        <v>69</v>
      </c>
      <c r="B76" t="inlineStr">
        <is>
          <t>B</t>
        </is>
      </c>
    </row>
    <row r="77">
      <c r="A77" t="n">
        <v>70</v>
      </c>
      <c r="B77" t="inlineStr">
        <is>
          <t>B</t>
        </is>
      </c>
    </row>
    <row r="78">
      <c r="A78" t="n">
        <v>71</v>
      </c>
      <c r="B78" t="inlineStr">
        <is>
          <t>B</t>
        </is>
      </c>
    </row>
    <row r="79">
      <c r="A79" t="n">
        <v>72</v>
      </c>
      <c r="B79" t="inlineStr">
        <is>
          <t>B</t>
        </is>
      </c>
    </row>
    <row r="80">
      <c r="A80" t="n">
        <v>73</v>
      </c>
      <c r="B80" t="inlineStr">
        <is>
          <t>D</t>
        </is>
      </c>
    </row>
    <row r="81">
      <c r="A81" t="n">
        <v>74</v>
      </c>
      <c r="B81" t="inlineStr">
        <is>
          <t>C</t>
        </is>
      </c>
    </row>
    <row r="82">
      <c r="A82" t="n">
        <v>75</v>
      </c>
      <c r="B82" t="inlineStr">
        <is>
          <t>B</t>
        </is>
      </c>
    </row>
    <row r="83">
      <c r="A83" t="n">
        <v>76</v>
      </c>
      <c r="B83" t="inlineStr">
        <is>
          <t>B</t>
        </is>
      </c>
    </row>
    <row r="84">
      <c r="A84" t="n">
        <v>77</v>
      </c>
      <c r="B84" t="inlineStr">
        <is>
          <t>C</t>
        </is>
      </c>
    </row>
    <row r="85">
      <c r="A85" t="n">
        <v>78</v>
      </c>
      <c r="B85" t="inlineStr">
        <is>
          <t>B</t>
        </is>
      </c>
    </row>
    <row r="86">
      <c r="A86" t="n">
        <v>79</v>
      </c>
      <c r="B86" t="inlineStr">
        <is>
          <t>B</t>
        </is>
      </c>
    </row>
    <row r="87">
      <c r="A87" t="n">
        <v>80</v>
      </c>
      <c r="B87" t="inlineStr">
        <is>
          <t>C</t>
        </is>
      </c>
    </row>
    <row r="88">
      <c r="A88" t="n">
        <v>81</v>
      </c>
      <c r="B88" t="inlineStr">
        <is>
          <t>C</t>
        </is>
      </c>
    </row>
    <row r="89">
      <c r="A89" t="n">
        <v>82</v>
      </c>
      <c r="B89" t="inlineStr">
        <is>
          <t>C</t>
        </is>
      </c>
    </row>
    <row r="90">
      <c r="A90" t="n">
        <v>83</v>
      </c>
      <c r="B90" t="inlineStr">
        <is>
          <t>B</t>
        </is>
      </c>
    </row>
    <row r="91">
      <c r="A91" t="n">
        <v>84</v>
      </c>
      <c r="B91" t="inlineStr">
        <is>
          <t>B</t>
        </is>
      </c>
    </row>
    <row r="92">
      <c r="A92" t="n">
        <v>85</v>
      </c>
      <c r="B92" t="inlineStr">
        <is>
          <t>B</t>
        </is>
      </c>
    </row>
    <row r="93">
      <c r="A93" t="n">
        <v>86</v>
      </c>
      <c r="B93" t="inlineStr">
        <is>
          <t>B</t>
        </is>
      </c>
    </row>
    <row r="94">
      <c r="A94" t="n">
        <v>87</v>
      </c>
      <c r="B94" t="inlineStr">
        <is>
          <t>C</t>
        </is>
      </c>
    </row>
    <row r="95">
      <c r="A95" t="n">
        <v>88</v>
      </c>
      <c r="B95" t="inlineStr">
        <is>
          <t>B</t>
        </is>
      </c>
    </row>
    <row r="96">
      <c r="A96" t="n">
        <v>89</v>
      </c>
      <c r="B96" t="inlineStr">
        <is>
          <t>C</t>
        </is>
      </c>
    </row>
    <row r="97">
      <c r="A97" t="n">
        <v>90</v>
      </c>
      <c r="B97" t="inlineStr">
        <is>
          <t>B</t>
        </is>
      </c>
    </row>
    <row r="98">
      <c r="A98" t="n">
        <v>91</v>
      </c>
      <c r="B98" t="inlineStr">
        <is>
          <t>B</t>
        </is>
      </c>
    </row>
    <row r="99">
      <c r="A99" t="n">
        <v>92</v>
      </c>
      <c r="B99" t="inlineStr">
        <is>
          <t>B</t>
        </is>
      </c>
    </row>
    <row r="100">
      <c r="A100" t="n">
        <v>93</v>
      </c>
      <c r="B100" t="inlineStr">
        <is>
          <t>B</t>
        </is>
      </c>
    </row>
    <row r="101">
      <c r="A101" t="n">
        <v>94</v>
      </c>
      <c r="B101" t="inlineStr">
        <is>
          <t>C</t>
        </is>
      </c>
    </row>
    <row r="102">
      <c r="A102" t="n">
        <v>95</v>
      </c>
      <c r="B102" t="inlineStr">
        <is>
          <t>B</t>
        </is>
      </c>
    </row>
    <row r="103">
      <c r="A103" t="n">
        <v>96</v>
      </c>
      <c r="B103" t="inlineStr">
        <is>
          <t>B</t>
        </is>
      </c>
    </row>
    <row r="104">
      <c r="A104" t="n">
        <v>97</v>
      </c>
      <c r="B104" t="inlineStr">
        <is>
          <t>C</t>
        </is>
      </c>
    </row>
    <row r="105">
      <c r="A105" t="n">
        <v>98</v>
      </c>
      <c r="B105" t="inlineStr">
        <is>
          <t>B</t>
        </is>
      </c>
    </row>
    <row r="106">
      <c r="A106" t="n">
        <v>99</v>
      </c>
      <c r="B106" t="inlineStr">
        <is>
          <t>B</t>
        </is>
      </c>
    </row>
    <row r="107">
      <c r="A107" t="n">
        <v>100</v>
      </c>
      <c r="B107" t="inlineStr">
        <is>
          <t>B</t>
        </is>
      </c>
    </row>
    <row r="108">
      <c r="A108" t="n">
        <v>101</v>
      </c>
      <c r="B108" t="inlineStr">
        <is>
          <t>B</t>
        </is>
      </c>
    </row>
    <row r="109">
      <c r="A109" t="n">
        <v>102</v>
      </c>
      <c r="B109" t="inlineStr">
        <is>
          <t>B</t>
        </is>
      </c>
    </row>
    <row r="110">
      <c r="A110" t="n">
        <v>103</v>
      </c>
      <c r="B110" t="inlineStr">
        <is>
          <t>B</t>
        </is>
      </c>
    </row>
    <row r="111">
      <c r="A111" t="n">
        <v>104</v>
      </c>
      <c r="B111" t="inlineStr">
        <is>
          <t>B</t>
        </is>
      </c>
    </row>
    <row r="112">
      <c r="A112" t="n">
        <v>105</v>
      </c>
      <c r="B112" t="inlineStr">
        <is>
          <t>B</t>
        </is>
      </c>
    </row>
    <row r="113">
      <c r="A113" t="n">
        <v>106</v>
      </c>
      <c r="B113" t="inlineStr">
        <is>
          <t>C</t>
        </is>
      </c>
    </row>
    <row r="114">
      <c r="A114" t="n">
        <v>107</v>
      </c>
      <c r="B114" t="inlineStr">
        <is>
          <t>B</t>
        </is>
      </c>
    </row>
    <row r="115">
      <c r="A115" t="n">
        <v>108</v>
      </c>
      <c r="B115" t="inlineStr">
        <is>
          <t>B</t>
        </is>
      </c>
    </row>
    <row r="116">
      <c r="A116" t="n">
        <v>109</v>
      </c>
      <c r="B116" t="inlineStr">
        <is>
          <t>B</t>
        </is>
      </c>
    </row>
    <row r="117">
      <c r="A117" t="n">
        <v>110</v>
      </c>
      <c r="B117" t="inlineStr">
        <is>
          <t>C</t>
        </is>
      </c>
    </row>
    <row r="118">
      <c r="A118" t="n">
        <v>111</v>
      </c>
      <c r="B118" t="inlineStr">
        <is>
          <t>C</t>
        </is>
      </c>
    </row>
    <row r="119">
      <c r="A119" t="n">
        <v>112</v>
      </c>
      <c r="B119" t="inlineStr">
        <is>
          <t>B</t>
        </is>
      </c>
    </row>
    <row r="120">
      <c r="A120" t="n">
        <v>113</v>
      </c>
      <c r="B120" t="inlineStr">
        <is>
          <t>C</t>
        </is>
      </c>
    </row>
    <row r="121">
      <c r="A121" t="n">
        <v>114</v>
      </c>
      <c r="B121" t="inlineStr">
        <is>
          <t>C</t>
        </is>
      </c>
    </row>
    <row r="122">
      <c r="A122" t="n">
        <v>115</v>
      </c>
      <c r="B122" t="inlineStr">
        <is>
          <t>C</t>
        </is>
      </c>
    </row>
    <row r="123">
      <c r="A123" t="n">
        <v>116</v>
      </c>
      <c r="B123" t="inlineStr">
        <is>
          <t>B</t>
        </is>
      </c>
    </row>
    <row r="124">
      <c r="A124" t="n">
        <v>117</v>
      </c>
      <c r="B124" t="inlineStr">
        <is>
          <t>A</t>
        </is>
      </c>
    </row>
    <row r="125">
      <c r="A125" t="n">
        <v>118</v>
      </c>
      <c r="B125" t="inlineStr">
        <is>
          <t>C</t>
        </is>
      </c>
    </row>
    <row r="126">
      <c r="A126" t="n">
        <v>119</v>
      </c>
      <c r="B126" t="inlineStr">
        <is>
          <t>C</t>
        </is>
      </c>
    </row>
    <row r="127">
      <c r="A127" t="n">
        <v>120</v>
      </c>
      <c r="B127" t="inlineStr">
        <is>
          <t>B</t>
        </is>
      </c>
    </row>
    <row r="128">
      <c r="A128" t="n">
        <v>121</v>
      </c>
      <c r="B128" t="inlineStr">
        <is>
          <t>B</t>
        </is>
      </c>
    </row>
    <row r="129">
      <c r="A129" t="n">
        <v>122</v>
      </c>
      <c r="B129" t="inlineStr">
        <is>
          <t>A</t>
        </is>
      </c>
    </row>
    <row r="130">
      <c r="A130" t="n">
        <v>123</v>
      </c>
      <c r="B130" t="inlineStr">
        <is>
          <t>B</t>
        </is>
      </c>
    </row>
    <row r="131">
      <c r="A131" t="n">
        <v>124</v>
      </c>
      <c r="B131" t="inlineStr">
        <is>
          <t>B</t>
        </is>
      </c>
    </row>
    <row r="132">
      <c r="A132" t="n">
        <v>125</v>
      </c>
      <c r="B132" t="inlineStr">
        <is>
          <t>B</t>
        </is>
      </c>
    </row>
    <row r="133">
      <c r="A133" t="n">
        <v>126</v>
      </c>
      <c r="B133" t="inlineStr">
        <is>
          <t>B</t>
        </is>
      </c>
    </row>
    <row r="134">
      <c r="A134" t="n">
        <v>127</v>
      </c>
      <c r="B134" t="inlineStr">
        <is>
          <t>B</t>
        </is>
      </c>
    </row>
    <row r="135">
      <c r="A135" t="n">
        <v>128</v>
      </c>
      <c r="B135" t="inlineStr">
        <is>
          <t>C</t>
        </is>
      </c>
    </row>
    <row r="136">
      <c r="A136" t="n">
        <v>129</v>
      </c>
      <c r="B136" t="inlineStr">
        <is>
          <t>B</t>
        </is>
      </c>
    </row>
    <row r="137">
      <c r="A137" t="n">
        <v>130</v>
      </c>
      <c r="B137" t="inlineStr">
        <is>
          <t>C</t>
        </is>
      </c>
    </row>
    <row r="138">
      <c r="A138" t="n">
        <v>131</v>
      </c>
      <c r="B138" t="inlineStr">
        <is>
          <t>D</t>
        </is>
      </c>
    </row>
    <row r="139">
      <c r="A139" t="n">
        <v>132</v>
      </c>
      <c r="B139" t="inlineStr">
        <is>
          <t>B</t>
        </is>
      </c>
    </row>
    <row r="140">
      <c r="A140" t="n">
        <v>133</v>
      </c>
      <c r="B140" t="inlineStr">
        <is>
          <t>B</t>
        </is>
      </c>
    </row>
    <row r="141">
      <c r="A141" t="n">
        <v>134</v>
      </c>
      <c r="B141" t="inlineStr">
        <is>
          <t>C</t>
        </is>
      </c>
    </row>
    <row r="142">
      <c r="A142" t="n">
        <v>135</v>
      </c>
      <c r="B142" t="inlineStr">
        <is>
          <t>C</t>
        </is>
      </c>
    </row>
    <row r="143">
      <c r="A143" t="n">
        <v>136</v>
      </c>
      <c r="B143" t="inlineStr">
        <is>
          <t>C</t>
        </is>
      </c>
    </row>
    <row r="144">
      <c r="A144" t="n">
        <v>137</v>
      </c>
      <c r="B144" t="inlineStr">
        <is>
          <t>B</t>
        </is>
      </c>
    </row>
    <row r="145">
      <c r="A145" t="n">
        <v>138</v>
      </c>
      <c r="B145" t="inlineStr">
        <is>
          <t>C</t>
        </is>
      </c>
    </row>
    <row r="146">
      <c r="A146" t="n">
        <v>139</v>
      </c>
      <c r="B146" t="inlineStr">
        <is>
          <t>A</t>
        </is>
      </c>
    </row>
    <row r="147">
      <c r="A147" t="n">
        <v>140</v>
      </c>
      <c r="B147" t="inlineStr">
        <is>
          <t>B</t>
        </is>
      </c>
    </row>
    <row r="148">
      <c r="A148" t="n">
        <v>141</v>
      </c>
      <c r="B148" t="inlineStr">
        <is>
          <t>B</t>
        </is>
      </c>
    </row>
    <row r="149">
      <c r="A149" t="n">
        <v>142</v>
      </c>
      <c r="B149" t="inlineStr">
        <is>
          <t>C</t>
        </is>
      </c>
    </row>
    <row r="150">
      <c r="A150" t="n">
        <v>143</v>
      </c>
      <c r="B150" t="inlineStr">
        <is>
          <t>B</t>
        </is>
      </c>
    </row>
    <row r="151">
      <c r="A151" t="n">
        <v>144</v>
      </c>
      <c r="B151" t="inlineStr">
        <is>
          <t>B</t>
        </is>
      </c>
    </row>
    <row r="152">
      <c r="A152" t="n">
        <v>145</v>
      </c>
      <c r="B152" t="inlineStr">
        <is>
          <t>B</t>
        </is>
      </c>
    </row>
    <row r="153">
      <c r="A153" t="n">
        <v>146</v>
      </c>
      <c r="B153" t="inlineStr">
        <is>
          <t>C</t>
        </is>
      </c>
    </row>
    <row r="154">
      <c r="A154" t="n">
        <v>147</v>
      </c>
      <c r="B154" t="inlineStr">
        <is>
          <t>C</t>
        </is>
      </c>
    </row>
    <row r="155">
      <c r="A155" t="n">
        <v>148</v>
      </c>
      <c r="B155" t="inlineStr">
        <is>
          <t>C</t>
        </is>
      </c>
    </row>
    <row r="156">
      <c r="A156" t="n">
        <v>149</v>
      </c>
      <c r="B156" t="inlineStr">
        <is>
          <t>B</t>
        </is>
      </c>
    </row>
    <row r="157">
      <c r="A157" t="n">
        <v>150</v>
      </c>
      <c r="B157" t="inlineStr">
        <is>
          <t>C</t>
        </is>
      </c>
    </row>
    <row r="158">
      <c r="A158" t="n">
        <v>151</v>
      </c>
      <c r="B158" t="inlineStr">
        <is>
          <t>C</t>
        </is>
      </c>
    </row>
    <row r="159">
      <c r="A159" t="n">
        <v>152</v>
      </c>
      <c r="B159" t="inlineStr">
        <is>
          <t>C</t>
        </is>
      </c>
    </row>
    <row r="160">
      <c r="A160" t="n">
        <v>153</v>
      </c>
      <c r="B160" t="inlineStr">
        <is>
          <t>B</t>
        </is>
      </c>
    </row>
    <row r="161">
      <c r="A161" t="n">
        <v>154</v>
      </c>
      <c r="B161" t="inlineStr">
        <is>
          <t>C</t>
        </is>
      </c>
    </row>
    <row r="162">
      <c r="A162" t="n">
        <v>155</v>
      </c>
      <c r="B162" t="inlineStr">
        <is>
          <t>B</t>
        </is>
      </c>
    </row>
    <row r="163">
      <c r="A163" t="n">
        <v>156</v>
      </c>
      <c r="B163" t="inlineStr">
        <is>
          <t>B</t>
        </is>
      </c>
    </row>
    <row r="164">
      <c r="A164" t="n">
        <v>157</v>
      </c>
      <c r="B164" t="inlineStr">
        <is>
          <t>B</t>
        </is>
      </c>
    </row>
    <row r="165">
      <c r="A165" t="n">
        <v>158</v>
      </c>
      <c r="B165" t="inlineStr">
        <is>
          <t>B</t>
        </is>
      </c>
    </row>
    <row r="166">
      <c r="A166" t="n">
        <v>159</v>
      </c>
      <c r="B166" t="inlineStr">
        <is>
          <t>B</t>
        </is>
      </c>
    </row>
    <row r="167">
      <c r="A167" t="n">
        <v>160</v>
      </c>
      <c r="B167" t="inlineStr">
        <is>
          <t>C</t>
        </is>
      </c>
    </row>
    <row r="168">
      <c r="A168" t="n">
        <v>161</v>
      </c>
      <c r="B168" t="inlineStr">
        <is>
          <t>B</t>
        </is>
      </c>
    </row>
    <row r="169">
      <c r="A169" t="n">
        <v>162</v>
      </c>
      <c r="B169" t="inlineStr">
        <is>
          <t>C</t>
        </is>
      </c>
    </row>
    <row r="170">
      <c r="A170" t="n">
        <v>163</v>
      </c>
      <c r="B170" t="inlineStr">
        <is>
          <t>B</t>
        </is>
      </c>
    </row>
    <row r="171">
      <c r="A171" t="n">
        <v>164</v>
      </c>
      <c r="B171" t="inlineStr">
        <is>
          <t>B</t>
        </is>
      </c>
    </row>
    <row r="172">
      <c r="A172" t="n">
        <v>165</v>
      </c>
      <c r="B172" t="inlineStr">
        <is>
          <t>C</t>
        </is>
      </c>
    </row>
    <row r="173">
      <c r="A173" t="n">
        <v>166</v>
      </c>
      <c r="B173" t="inlineStr">
        <is>
          <t>B</t>
        </is>
      </c>
    </row>
    <row r="174">
      <c r="A174" t="n">
        <v>167</v>
      </c>
      <c r="B174" t="inlineStr">
        <is>
          <t>B</t>
        </is>
      </c>
    </row>
    <row r="175">
      <c r="A175" t="n">
        <v>168</v>
      </c>
      <c r="B175" t="inlineStr">
        <is>
          <t>B</t>
        </is>
      </c>
    </row>
    <row r="176">
      <c r="A176" t="n">
        <v>169</v>
      </c>
      <c r="B176" t="inlineStr">
        <is>
          <t>B</t>
        </is>
      </c>
    </row>
    <row r="177">
      <c r="A177" t="n">
        <v>170</v>
      </c>
      <c r="B177" t="inlineStr">
        <is>
          <t>B</t>
        </is>
      </c>
    </row>
    <row r="178">
      <c r="A178" t="n">
        <v>171</v>
      </c>
      <c r="B178" t="inlineStr">
        <is>
          <t>B</t>
        </is>
      </c>
    </row>
    <row r="179">
      <c r="A179" t="n">
        <v>172</v>
      </c>
      <c r="B179" t="inlineStr">
        <is>
          <t>B</t>
        </is>
      </c>
    </row>
    <row r="180">
      <c r="A180" t="n">
        <v>173</v>
      </c>
      <c r="B180" t="inlineStr">
        <is>
          <t>B</t>
        </is>
      </c>
    </row>
    <row r="181">
      <c r="A181" t="n">
        <v>174</v>
      </c>
      <c r="B181" t="inlineStr">
        <is>
          <t>B</t>
        </is>
      </c>
    </row>
    <row r="182">
      <c r="A182" t="n">
        <v>175</v>
      </c>
      <c r="B182" t="inlineStr">
        <is>
          <t>C</t>
        </is>
      </c>
    </row>
    <row r="183">
      <c r="A183" t="n">
        <v>176</v>
      </c>
      <c r="B183" t="inlineStr">
        <is>
          <t>B</t>
        </is>
      </c>
    </row>
    <row r="184">
      <c r="A184" t="n">
        <v>177</v>
      </c>
      <c r="B184" t="inlineStr">
        <is>
          <t>B</t>
        </is>
      </c>
    </row>
    <row r="185">
      <c r="A185" t="n">
        <v>178</v>
      </c>
      <c r="B185" t="inlineStr">
        <is>
          <t>B</t>
        </is>
      </c>
    </row>
    <row r="186">
      <c r="A186" t="n">
        <v>179</v>
      </c>
      <c r="B186" t="inlineStr">
        <is>
          <t>B</t>
        </is>
      </c>
    </row>
    <row r="187">
      <c r="A187" t="n">
        <v>180</v>
      </c>
      <c r="B187" t="inlineStr">
        <is>
          <t>A</t>
        </is>
      </c>
    </row>
    <row r="188">
      <c r="A188" t="n">
        <v>181</v>
      </c>
      <c r="B188"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2026-06-27T13:09:11Z</dcterms:created>
  <dcterms:modified xmlns:dcterms="http://purl.org/dc/terms/" xmlns:xsi="http://www.w3.org/2001/XMLSchema-instance" xsi:type="dcterms:W3CDTF">2026-06-27T23:22:34Z</dcterms:modified>
  <cp:lastModifiedBy>TOMOYASU KATO</cp:lastModifiedBy>
</cp:coreProperties>
</file>